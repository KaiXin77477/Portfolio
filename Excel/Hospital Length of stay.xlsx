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24226"/>
  <mc:AlternateContent xmlns:mc="http://schemas.openxmlformats.org/markup-compatibility/2006">
    <mc:Choice Requires="x15">
      <x15ac:absPath xmlns:x15ac="http://schemas.microsoft.com/office/spreadsheetml/2010/11/ac" url="D:\Kay's storage\Jobs\2024\Didn't get\NBT - Operations and Performance Analyst\Test\"/>
    </mc:Choice>
  </mc:AlternateContent>
  <xr:revisionPtr revIDLastSave="0" documentId="13_ncr:1_{6FE39CFA-4314-48FC-A5C1-8346AD6F41C2}" xr6:coauthVersionLast="47" xr6:coauthVersionMax="47" xr10:uidLastSave="{00000000-0000-0000-0000-000000000000}"/>
  <bookViews>
    <workbookView xWindow="1810" yWindow="1060" windowWidth="28320" windowHeight="18950" firstSheet="1" activeTab="3" xr2:uid="{00000000-000D-0000-FFFF-FFFF00000000}"/>
  </bookViews>
  <sheets>
    <sheet name="RTT Data (2)" sheetId="4" state="hidden" r:id="rId1"/>
    <sheet name="PivotChart" sheetId="5" r:id="rId2"/>
    <sheet name="PivotTable" sheetId="3" r:id="rId3"/>
    <sheet name="RTT Data" sheetId="1" r:id="rId4"/>
    <sheet name="Sheet2" sheetId="2" state="hidden" r:id="rId5"/>
  </sheets>
  <definedNames>
    <definedName name="_xlnm._FilterDatabase" localSheetId="3" hidden="1">'RTT Data'!$A$1:$K$516</definedName>
    <definedName name="_xlnm._FilterDatabase" localSheetId="0" hidden="1">'RTT Data (2)'!$A$1:$K$516</definedName>
    <definedName name="Slicer_Commissioner_Org_Name">#N/A</definedName>
    <definedName name="Slicer_Commissioner_Org_Nam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18" i="1" l="1"/>
  <c r="I518" i="1"/>
  <c r="I520" i="4"/>
  <c r="I519" i="4"/>
  <c r="J520" i="4"/>
  <c r="J519" i="4"/>
  <c r="J518" i="4"/>
  <c r="I518"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2" i="1"/>
  <c r="K518" i="1" l="1"/>
  <c r="K518" i="4"/>
  <c r="K519" i="4"/>
  <c r="K520" i="4"/>
</calcChain>
</file>

<file path=xl/sharedStrings.xml><?xml version="1.0" encoding="utf-8"?>
<sst xmlns="http://schemas.openxmlformats.org/spreadsheetml/2006/main" count="8315" uniqueCount="312">
  <si>
    <t>Year</t>
  </si>
  <si>
    <t>Period Name</t>
  </si>
  <si>
    <t>Provider Org Code</t>
  </si>
  <si>
    <t>Provider Org Name</t>
  </si>
  <si>
    <t>Commissioner Org Code</t>
  </si>
  <si>
    <t>Commissioner Org Name</t>
  </si>
  <si>
    <t>RTT Part Description</t>
  </si>
  <si>
    <t>Treatment Function Name</t>
  </si>
  <si>
    <t>Total</t>
  </si>
  <si>
    <t>2016-17</t>
  </si>
  <si>
    <t>MARCH</t>
  </si>
  <si>
    <t>RVJ</t>
  </si>
  <si>
    <t>NORTH BRISTOL NHS TRUST</t>
  </si>
  <si>
    <t>10J</t>
  </si>
  <si>
    <t>NHS NORTH HAMPSHIRE CCG</t>
  </si>
  <si>
    <t>Neurosurgery</t>
  </si>
  <si>
    <t>Incomplete Pathways</t>
  </si>
  <si>
    <t>Trauma &amp; Orthopaedics</t>
  </si>
  <si>
    <t>Gynaecology</t>
  </si>
  <si>
    <t>10K</t>
  </si>
  <si>
    <t>NHS FAREHAM AND GOSPORT CCG</t>
  </si>
  <si>
    <t>10L</t>
  </si>
  <si>
    <t>NHS ISLE OF WIGHT CCG</t>
  </si>
  <si>
    <t>Other</t>
  </si>
  <si>
    <t>10R</t>
  </si>
  <si>
    <t>NHS PORTSMOUTH CCG</t>
  </si>
  <si>
    <t>10V</t>
  </si>
  <si>
    <t>NHS SOUTH EASTERN HAMPSHIRE CCG</t>
  </si>
  <si>
    <t>Dermatology</t>
  </si>
  <si>
    <t>10X</t>
  </si>
  <si>
    <t>NHS SOUTHAMPTON CCG</t>
  </si>
  <si>
    <t>Neurology</t>
  </si>
  <si>
    <t>11A</t>
  </si>
  <si>
    <t>NHS WEST HAMPSHIRE CCG</t>
  </si>
  <si>
    <t>Urology</t>
  </si>
  <si>
    <t>11J</t>
  </si>
  <si>
    <t>NHS DORSET CCG</t>
  </si>
  <si>
    <t>General Surgery</t>
  </si>
  <si>
    <t>Plastic Surgery</t>
  </si>
  <si>
    <t>Gastroenterology</t>
  </si>
  <si>
    <t>Rheumatology</t>
  </si>
  <si>
    <t>99M</t>
  </si>
  <si>
    <t>NHS NORTH EAST HAMPSHIRE AND FARNHAM CCG</t>
  </si>
  <si>
    <t>07L</t>
  </si>
  <si>
    <t>NHS BARKING AND DAGENHAM CCG</t>
  </si>
  <si>
    <t>07M</t>
  </si>
  <si>
    <t>NHS BARNET CCG</t>
  </si>
  <si>
    <t>07N</t>
  </si>
  <si>
    <t>NHS BEXLEY CCG</t>
  </si>
  <si>
    <t>07P</t>
  </si>
  <si>
    <t>NHS BRENT CCG</t>
  </si>
  <si>
    <t>Cardiology</t>
  </si>
  <si>
    <t>07Q</t>
  </si>
  <si>
    <t>NHS BROMLEY CCG</t>
  </si>
  <si>
    <t>07T</t>
  </si>
  <si>
    <t>NHS CITY AND HACKNEY CCG</t>
  </si>
  <si>
    <t>07W</t>
  </si>
  <si>
    <t>NHS EALING CCG</t>
  </si>
  <si>
    <t>07X</t>
  </si>
  <si>
    <t>NHS ENFIELD CCG</t>
  </si>
  <si>
    <t>07Y</t>
  </si>
  <si>
    <t>NHS HOUNSLOW CCG</t>
  </si>
  <si>
    <t>08A</t>
  </si>
  <si>
    <t>NHS GREENWICH CCG</t>
  </si>
  <si>
    <t>08C</t>
  </si>
  <si>
    <t>NHS HAMMERSMITH AND FULHAM CCG</t>
  </si>
  <si>
    <t>08D</t>
  </si>
  <si>
    <t>NHS HARINGEY CCG</t>
  </si>
  <si>
    <t>08F</t>
  </si>
  <si>
    <t>NHS HAVERING CCG</t>
  </si>
  <si>
    <t>08G</t>
  </si>
  <si>
    <t>NHS HILLINGDON CCG</t>
  </si>
  <si>
    <t>08H</t>
  </si>
  <si>
    <t>NHS ISLINGTON CCG</t>
  </si>
  <si>
    <t>08J</t>
  </si>
  <si>
    <t>NHS KINGSTON CCG</t>
  </si>
  <si>
    <t>08K</t>
  </si>
  <si>
    <t>NHS LAMBETH CCG</t>
  </si>
  <si>
    <t>08L</t>
  </si>
  <si>
    <t>NHS LEWISHAM CCG</t>
  </si>
  <si>
    <t>08N</t>
  </si>
  <si>
    <t>NHS REDBRIDGE CCG</t>
  </si>
  <si>
    <t>08P</t>
  </si>
  <si>
    <t>NHS RICHMOND CCG</t>
  </si>
  <si>
    <t>08Q</t>
  </si>
  <si>
    <t>NHS SOUTHWARK CCG</t>
  </si>
  <si>
    <t>08Y</t>
  </si>
  <si>
    <t>NHS WEST LONDON CCG</t>
  </si>
  <si>
    <t>02R</t>
  </si>
  <si>
    <t>NHS BRADFORD DISTRICTS CCG</t>
  </si>
  <si>
    <t>02T</t>
  </si>
  <si>
    <t>NHS CALDERDALE CCG</t>
  </si>
  <si>
    <t>02W</t>
  </si>
  <si>
    <t>NHS BRADFORD CITY CCG</t>
  </si>
  <si>
    <t>02X</t>
  </si>
  <si>
    <t>NHS DONCASTER CCG</t>
  </si>
  <si>
    <t>02Y</t>
  </si>
  <si>
    <t>NHS EAST RIDING OF YORKSHIRE CCG</t>
  </si>
  <si>
    <t>03A</t>
  </si>
  <si>
    <t>NHS GREATER HUDDERSFIELD CCG</t>
  </si>
  <si>
    <t>03C</t>
  </si>
  <si>
    <t>NHS LEEDS WEST CCG</t>
  </si>
  <si>
    <t>03L</t>
  </si>
  <si>
    <t>NHS ROTHERHAM CCG</t>
  </si>
  <si>
    <t>03N</t>
  </si>
  <si>
    <t>NHS SHEFFIELD CCG</t>
  </si>
  <si>
    <t>03Q</t>
  </si>
  <si>
    <t>NHS VALE OF YORK CCG</t>
  </si>
  <si>
    <t>00D</t>
  </si>
  <si>
    <t>NHS DURHAM DALES, EASINGTON AND SEDGEFIELD CCG</t>
  </si>
  <si>
    <t>00J</t>
  </si>
  <si>
    <t>NHS NORTH DURHAM CCG</t>
  </si>
  <si>
    <t>00L</t>
  </si>
  <si>
    <t>NHS NORTHUMBERLAND CCG</t>
  </si>
  <si>
    <t>01H</t>
  </si>
  <si>
    <t>NHS NORTH CUMBRIA CCG</t>
  </si>
  <si>
    <t>13T</t>
  </si>
  <si>
    <t>NHS NEWCASTLE GATESHEAD CCG</t>
  </si>
  <si>
    <t>01T</t>
  </si>
  <si>
    <t>NHS SOUTH SEFTON CCG</t>
  </si>
  <si>
    <t>01V</t>
  </si>
  <si>
    <t>NHS SOUTHPORT AND FORMBY CCG</t>
  </si>
  <si>
    <t>02F</t>
  </si>
  <si>
    <t>NHS WEST CHESHIRE CCG</t>
  </si>
  <si>
    <t>12F</t>
  </si>
  <si>
    <t>NHS WIRRAL CCG</t>
  </si>
  <si>
    <t>99A</t>
  </si>
  <si>
    <t>NHS LIVERPOOL CCG</t>
  </si>
  <si>
    <t>03Y</t>
  </si>
  <si>
    <t>NHS HARDWICK CCG</t>
  </si>
  <si>
    <t>04J</t>
  </si>
  <si>
    <t>NHS NORTH DERBYSHIRE CCG</t>
  </si>
  <si>
    <t>04K</t>
  </si>
  <si>
    <t>NHS NOTTINGHAM CITY CCG</t>
  </si>
  <si>
    <t>04N</t>
  </si>
  <si>
    <t>NHS RUSHCLIFFE CCG</t>
  </si>
  <si>
    <t>04R</t>
  </si>
  <si>
    <t>NHS SOUTHERN DERBYSHIRE CCG</t>
  </si>
  <si>
    <t>04Y</t>
  </si>
  <si>
    <t>NHS CANNOCK CHASE CCG</t>
  </si>
  <si>
    <t>05D</t>
  </si>
  <si>
    <t>NHS EAST STAFFORDSHIRE CCG</t>
  </si>
  <si>
    <t>05N</t>
  </si>
  <si>
    <t>NHS SHROPSHIRE CCG</t>
  </si>
  <si>
    <t>05Q</t>
  </si>
  <si>
    <t>NHS SOUTH EAST STAFFORDSHIRE AND SEISDON PENINSULA CCG</t>
  </si>
  <si>
    <t>05V</t>
  </si>
  <si>
    <t>NHS STAFFORD AND SURROUNDS CCG</t>
  </si>
  <si>
    <t>05W</t>
  </si>
  <si>
    <t>NHS STOKE ON TRENT CCG</t>
  </si>
  <si>
    <t>05X</t>
  </si>
  <si>
    <t>NHS TELFORD AND WREKIN CCG</t>
  </si>
  <si>
    <t>04X</t>
  </si>
  <si>
    <t>NHS BIRMINGHAM SOUTH AND CENTRAL CCG</t>
  </si>
  <si>
    <t>05A</t>
  </si>
  <si>
    <t>NHS COVENTRY AND RUGBY CCG</t>
  </si>
  <si>
    <t>05C</t>
  </si>
  <si>
    <t>NHS DUDLEY CCG</t>
  </si>
  <si>
    <t>05F</t>
  </si>
  <si>
    <t>NHS HEREFORDSHIRE CCG</t>
  </si>
  <si>
    <t>Thoracic Medicine</t>
  </si>
  <si>
    <t>05H</t>
  </si>
  <si>
    <t>NHS WARWICKSHIRE NORTH CCG</t>
  </si>
  <si>
    <t>05J</t>
  </si>
  <si>
    <t>NHS REDDITCH AND BROMSGROVE CCG</t>
  </si>
  <si>
    <t>05L</t>
  </si>
  <si>
    <t>NHS SANDWELL AND WEST BIRMINGHAM CCG</t>
  </si>
  <si>
    <t>05P</t>
  </si>
  <si>
    <t>NHS SOLIHULL CCG</t>
  </si>
  <si>
    <t>05R</t>
  </si>
  <si>
    <t>NHS SOUTH WARWICKSHIRE CCG</t>
  </si>
  <si>
    <t>05T</t>
  </si>
  <si>
    <t>NHS SOUTH WORCESTERSHIRE CCG</t>
  </si>
  <si>
    <t>05Y</t>
  </si>
  <si>
    <t>NHS WALSALL CCG</t>
  </si>
  <si>
    <t>06A</t>
  </si>
  <si>
    <t>NHS WOLVERHAMPTON CCG</t>
  </si>
  <si>
    <t>06D</t>
  </si>
  <si>
    <t>NHS WYRE FOREST CCG</t>
  </si>
  <si>
    <t>13P</t>
  </si>
  <si>
    <t>NHS BIRMINGHAM CROSSCITY CCG</t>
  </si>
  <si>
    <t>03V</t>
  </si>
  <si>
    <t>NHS CORBY CCG</t>
  </si>
  <si>
    <t>03W</t>
  </si>
  <si>
    <t>NHS EAST LEICESTERSHIRE AND RUTLAND CCG</t>
  </si>
  <si>
    <t>04C</t>
  </si>
  <si>
    <t>NHS LEICESTER CITY CCG</t>
  </si>
  <si>
    <t>04F</t>
  </si>
  <si>
    <t>NHS MILTON KEYNES CCG</t>
  </si>
  <si>
    <t>04V</t>
  </si>
  <si>
    <t>NHS WEST LEICESTERSHIRE CCG</t>
  </si>
  <si>
    <t>06K</t>
  </si>
  <si>
    <t>NHS EAST AND NORTH HERTFORDSHIRE CCG</t>
  </si>
  <si>
    <t>06N</t>
  </si>
  <si>
    <t>NHS HERTS VALLEYS CCG</t>
  </si>
  <si>
    <t>06H</t>
  </si>
  <si>
    <t>NHS CAMBRIDGESHIRE AND PETERBOROUGH CCG</t>
  </si>
  <si>
    <t>06Q</t>
  </si>
  <si>
    <t>NHS MID ESSEX CCG</t>
  </si>
  <si>
    <t>06Y</t>
  </si>
  <si>
    <t>NHS SOUTH NORFOLK CCG</t>
  </si>
  <si>
    <t>07G</t>
  </si>
  <si>
    <t>NHS THURROCK CCG</t>
  </si>
  <si>
    <t>99F</t>
  </si>
  <si>
    <t>NHS CASTLE POINT AND ROCHFORD CCG</t>
  </si>
  <si>
    <t>99G</t>
  </si>
  <si>
    <t>NHS SOUTHEND CCG</t>
  </si>
  <si>
    <t>11H</t>
  </si>
  <si>
    <t>NHS BRISTOL CCG</t>
  </si>
  <si>
    <t>General Medicine</t>
  </si>
  <si>
    <t>Geriatric Medicine</t>
  </si>
  <si>
    <t>Cardiothoracic Surgery</t>
  </si>
  <si>
    <t>11N</t>
  </si>
  <si>
    <t>NHS KERNOW CCG</t>
  </si>
  <si>
    <t>11T</t>
  </si>
  <si>
    <t>NHS NORTH SOMERSET CCG</t>
  </si>
  <si>
    <t>11X</t>
  </si>
  <si>
    <t>NHS SOMERSET CCG</t>
  </si>
  <si>
    <t>12A</t>
  </si>
  <si>
    <t>NHS SOUTH GLOUCESTERSHIRE CCG</t>
  </si>
  <si>
    <t>99P</t>
  </si>
  <si>
    <t>NHS NORTHERN, EASTERN AND WESTERN DEVON CCG</t>
  </si>
  <si>
    <t>99Q</t>
  </si>
  <si>
    <t>NHS SOUTH DEVON AND TORBAY CCG</t>
  </si>
  <si>
    <t>09D</t>
  </si>
  <si>
    <t>NHS BRIGHTON AND HOVE CCG</t>
  </si>
  <si>
    <t>09E</t>
  </si>
  <si>
    <t>NHS CANTERBURY AND COASTAL CCG</t>
  </si>
  <si>
    <t>09F</t>
  </si>
  <si>
    <t>NHS EASTBOURNE, HAILSHAM AND SEAFORD CCG</t>
  </si>
  <si>
    <t>09G</t>
  </si>
  <si>
    <t>NHS COASTAL WEST SUSSEX CCG</t>
  </si>
  <si>
    <t>09L</t>
  </si>
  <si>
    <t>NHS EAST SURREY CCG</t>
  </si>
  <si>
    <t>09N</t>
  </si>
  <si>
    <t>NHS GUILDFORD AND WAVERLEY CCG</t>
  </si>
  <si>
    <t>09P</t>
  </si>
  <si>
    <t>NHS HASTINGS AND ROTHER CCG</t>
  </si>
  <si>
    <t>09X</t>
  </si>
  <si>
    <t>NHS HORSHAM AND MID SUSSEX CCG</t>
  </si>
  <si>
    <t>09Y</t>
  </si>
  <si>
    <t>NHS NORTH WEST SURREY CCG</t>
  </si>
  <si>
    <t>10A</t>
  </si>
  <si>
    <t>NHS SOUTH KENT COAST CCG</t>
  </si>
  <si>
    <t>10D</t>
  </si>
  <si>
    <t>NHS SWALE CCG</t>
  </si>
  <si>
    <t>99H</t>
  </si>
  <si>
    <t>NHS SURREY DOWNS CCG</t>
  </si>
  <si>
    <t>99J</t>
  </si>
  <si>
    <t>NHS WEST KENT CCG</t>
  </si>
  <si>
    <t>99K</t>
  </si>
  <si>
    <t>NHS HIGH WEALD LEWES HAVENS CCG</t>
  </si>
  <si>
    <t>10G</t>
  </si>
  <si>
    <t>NHS BRACKNELL AND ASCOT CCG</t>
  </si>
  <si>
    <t>10M</t>
  </si>
  <si>
    <t>NHS NEWBURY AND DISTRICT CCG</t>
  </si>
  <si>
    <t>10N</t>
  </si>
  <si>
    <t>NHS NORTH AND WEST READING CCG</t>
  </si>
  <si>
    <t>10Q</t>
  </si>
  <si>
    <t>NHS OXFORDSHIRE CCG</t>
  </si>
  <si>
    <t>10T</t>
  </si>
  <si>
    <t>NHS SLOUGH CCG</t>
  </si>
  <si>
    <t>10W</t>
  </si>
  <si>
    <t>NHS SOUTH READING CCG</t>
  </si>
  <si>
    <t>10Y</t>
  </si>
  <si>
    <t>NHS AYLESBURY VALE CCG</t>
  </si>
  <si>
    <t>11C</t>
  </si>
  <si>
    <t>NHS WINDSOR, ASCOT AND MAIDENHEAD CCG</t>
  </si>
  <si>
    <t>11D</t>
  </si>
  <si>
    <t>NHS WOKINGHAM CCG</t>
  </si>
  <si>
    <t>11E</t>
  </si>
  <si>
    <t>NHS BATH AND NORTH EAST SOMERSET CCG</t>
  </si>
  <si>
    <t>11M</t>
  </si>
  <si>
    <t>NHS GLOUCESTERSHIRE CCG</t>
  </si>
  <si>
    <t>12D</t>
  </si>
  <si>
    <t>NHS SWINDON CCG</t>
  </si>
  <si>
    <t>99N</t>
  </si>
  <si>
    <t>NHS WILTSHIRE CCG</t>
  </si>
  <si>
    <t>01M</t>
  </si>
  <si>
    <t>NHS NORTH MANCHESTER CCG</t>
  </si>
  <si>
    <t>01N</t>
  </si>
  <si>
    <t>NHS SOUTH MANCHESTER CCG</t>
  </si>
  <si>
    <t>01W</t>
  </si>
  <si>
    <t>NHS STOCKPORT CCG</t>
  </si>
  <si>
    <t>02A</t>
  </si>
  <si>
    <t>NHS TRAFFORD CCG</t>
  </si>
  <si>
    <t>00Q</t>
  </si>
  <si>
    <t>NHS BLACKBURN WITH DARWEN CCG</t>
  </si>
  <si>
    <t>01A</t>
  </si>
  <si>
    <t>NHS EAST LANCASHIRE CCG</t>
  </si>
  <si>
    <t>02M</t>
  </si>
  <si>
    <t>NHS FYLDE AND WYRE CCG</t>
  </si>
  <si>
    <t>NONC</t>
  </si>
  <si>
    <t>NON ENGLISH COMMISSIONER</t>
  </si>
  <si>
    <t>X24</t>
  </si>
  <si>
    <t>NHS ENGLAND</t>
  </si>
  <si>
    <t>&lt;18wks</t>
  </si>
  <si>
    <t>&gt;=18wks</t>
  </si>
  <si>
    <t>Incomplete Pathways at the end of March 2017</t>
  </si>
  <si>
    <t>North Bristol NHS Trust</t>
  </si>
  <si>
    <t>National Target = 92%</t>
  </si>
  <si>
    <t>Sum of Total</t>
  </si>
  <si>
    <t>Grand Total</t>
  </si>
  <si>
    <t>Totals only</t>
  </si>
  <si>
    <t>Totals without totals</t>
  </si>
  <si>
    <t>(Multiple Items)</t>
  </si>
  <si>
    <t>Totals</t>
  </si>
  <si>
    <t xml:space="preserve">Please note that I have applied a filter to column H 'Treatment Function Name' to hide 'Totals' from this data set. This is to remove double counting (deduplication). </t>
  </si>
  <si>
    <t>Sum of &lt;18 weeks</t>
  </si>
  <si>
    <t>% waits &lt;18 weeks</t>
  </si>
  <si>
    <t>Percentage of treatment functions (in England) less than 18 weeks - only six categories fell outside the target of 92%.</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</si>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</sst>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9"/>
      <color theme="1"/>
      <name val="Segoe UI"/>
      <family val="2"/>
    </font>
    <font>
      <b/>
      <sz val="9"/>
      <color theme="1"/>
      <name val="Segoe UI"/>
      <family val="2"/>
    </font>
    <font>
      <b/>
      <sz val="14"/>
      <color theme="1"/>
      <name val="Segoe UI"/>
      <family val="2"/>
    </font>
    <font>
      <b/>
      <sz val="12"/>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1" fillId="0" borderId="0" xfId="0" applyFont="1"/>
    <xf numFmtId="3" fontId="0" fillId="0" borderId="0" xfId="0" applyNumberFormat="1" applyAlignment="1">
      <alignment horizontal="right"/>
    </xf>
    <xf numFmtId="0" fontId="1" fillId="0" borderId="0" xfId="0" applyFont="1" applyAlignment="1">
      <alignment horizontal="center"/>
    </xf>
    <xf numFmtId="0" fontId="0" fillId="0" borderId="0" xfId="0" applyAlignment="1">
      <alignment wrapText="1"/>
    </xf>
    <xf numFmtId="0" fontId="2" fillId="0" borderId="0" xfId="0" pivotButton="1" applyFont="1"/>
    <xf numFmtId="4" fontId="0" fillId="0" borderId="0" xfId="0" applyNumberFormat="1" applyAlignment="1">
      <alignment horizontal="right"/>
    </xf>
    <xf numFmtId="0" fontId="3" fillId="0" borderId="0" xfId="0" applyFont="1"/>
  </cellXfs>
  <cellStyles count="1">
    <cellStyle name="Normal" xfId="0" builtinId="0"/>
  </cellStyles>
  <dxfs count="2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4" formatCode="#,##0.00"/>
    </dxf>
    <dxf>
      <font>
        <sz val="14"/>
      </font>
    </dxf>
    <dxf>
      <alignment horizontal="center"/>
    </dxf>
    <dxf>
      <alignment horizontal="center"/>
    </dxf>
    <dxf>
      <alignment horizontal="right"/>
    </dxf>
    <dxf>
      <alignment horizontal="right"/>
    </dxf>
    <dxf>
      <font>
        <b/>
      </font>
    </dxf>
    <dxf>
      <numFmt numFmtId="3" formatCode="#,##0"/>
    </dxf>
    <dxf>
      <fill>
        <patternFill>
          <bgColor rgb="FFFF0000"/>
        </patternFill>
      </fill>
    </dxf>
    <dxf>
      <numFmt numFmtId="4" formatCode="#,##0.00"/>
    </dxf>
    <dxf>
      <font>
        <sz val="14"/>
      </font>
    </dxf>
    <dxf>
      <alignment horizontal="right"/>
    </dxf>
    <dxf>
      <font>
        <b/>
      </font>
    </dxf>
    <dxf>
      <numFmt numFmtId="3" formatCode="#,##0"/>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[Test_B5 Kay Roscoe.xlsx]PivotChart!PivotTable2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Perce</a:t>
            </a:r>
            <a:r>
              <a:rPr lang="en-US" b="1" baseline="0">
                <a:latin typeface="Arial" panose="020B0604020202020204" pitchFamily="34" charset="0"/>
                <a:cs typeface="Arial" panose="020B0604020202020204" pitchFamily="34" charset="0"/>
              </a:rPr>
              <a:t>ntage waits less than 18 weeks per treament function</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PivotChart!$B$3</c:f>
              <c:strCache>
                <c:ptCount val="1"/>
                <c:pt idx="0">
                  <c:v>Total</c:v>
                </c:pt>
              </c:strCache>
            </c:strRef>
          </c:tx>
          <c:spPr>
            <a:solidFill>
              <a:schemeClr val="accent3"/>
            </a:solidFill>
            <a:ln>
              <a:noFill/>
            </a:ln>
            <a:effectLst/>
          </c:spPr>
          <c:invertIfNegative val="0"/>
          <c:cat>
            <c:strRef>
              <c:f>PivotChart!$A$4:$A$20</c:f>
              <c:strCache>
                <c:ptCount val="16"/>
                <c:pt idx="0">
                  <c:v>Cardiothoracic Surgery</c:v>
                </c:pt>
                <c:pt idx="1">
                  <c:v>General Medicine</c:v>
                </c:pt>
                <c:pt idx="2">
                  <c:v>Geriatric Medicine</c:v>
                </c:pt>
                <c:pt idx="3">
                  <c:v>Dermatology</c:v>
                </c:pt>
                <c:pt idx="4">
                  <c:v>Cardiology</c:v>
                </c:pt>
                <c:pt idx="5">
                  <c:v>Urology</c:v>
                </c:pt>
                <c:pt idx="6">
                  <c:v>Rheumatology</c:v>
                </c:pt>
                <c:pt idx="7">
                  <c:v>Plastic Surgery</c:v>
                </c:pt>
                <c:pt idx="8">
                  <c:v>Neurology</c:v>
                </c:pt>
                <c:pt idx="9">
                  <c:v>Other</c:v>
                </c:pt>
                <c:pt idx="10">
                  <c:v>Gastroenterology</c:v>
                </c:pt>
                <c:pt idx="11">
                  <c:v>Thoracic Medicine</c:v>
                </c:pt>
                <c:pt idx="12">
                  <c:v>Gynaecology</c:v>
                </c:pt>
                <c:pt idx="13">
                  <c:v>General Surgery</c:v>
                </c:pt>
                <c:pt idx="14">
                  <c:v>Neurosurgery</c:v>
                </c:pt>
                <c:pt idx="15">
                  <c:v>Trauma &amp; Orthopaedics</c:v>
                </c:pt>
              </c:strCache>
            </c:strRef>
          </c:cat>
          <c:val>
            <c:numRef>
              <c:f>PivotChart!$B$4:$B$20</c:f>
              <c:numCache>
                <c:formatCode>#,##0.00</c:formatCode>
                <c:ptCount val="16"/>
                <c:pt idx="0">
                  <c:v>100</c:v>
                </c:pt>
                <c:pt idx="1">
                  <c:v>100</c:v>
                </c:pt>
                <c:pt idx="2">
                  <c:v>99.21875</c:v>
                </c:pt>
                <c:pt idx="3">
                  <c:v>97.642163661581137</c:v>
                </c:pt>
                <c:pt idx="4">
                  <c:v>97.03504043126685</c:v>
                </c:pt>
                <c:pt idx="5">
                  <c:v>96.76891615541922</c:v>
                </c:pt>
                <c:pt idx="6">
                  <c:v>96.409335727109521</c:v>
                </c:pt>
                <c:pt idx="7">
                  <c:v>93.157010915197318</c:v>
                </c:pt>
                <c:pt idx="8">
                  <c:v>92.544773011245312</c:v>
                </c:pt>
                <c:pt idx="9">
                  <c:v>92.242914979757089</c:v>
                </c:pt>
                <c:pt idx="10">
                  <c:v>90.864197530864203</c:v>
                </c:pt>
                <c:pt idx="11">
                  <c:v>90.5458089668616</c:v>
                </c:pt>
                <c:pt idx="12">
                  <c:v>90.322580645161295</c:v>
                </c:pt>
                <c:pt idx="13">
                  <c:v>84.199726402188787</c:v>
                </c:pt>
                <c:pt idx="14">
                  <c:v>74.126534466477807</c:v>
                </c:pt>
                <c:pt idx="15">
                  <c:v>68.093974990526718</c:v>
                </c:pt>
              </c:numCache>
            </c:numRef>
          </c:val>
          <c:extLst>
            <c:ext xmlns:c16="http://schemas.microsoft.com/office/drawing/2014/chart" uri="{C3380CC4-5D6E-409C-BE32-E72D297353CC}">
              <c16:uniqueId val="{00000000-F9BA-446D-AA71-ADF381F5FC59}"/>
            </c:ext>
          </c:extLst>
        </c:ser>
        <c:dLbls>
          <c:showLegendKey val="0"/>
          <c:showVal val="0"/>
          <c:showCatName val="0"/>
          <c:showSerName val="0"/>
          <c:showPercent val="0"/>
          <c:showBubbleSize val="0"/>
        </c:dLbls>
        <c:gapWidth val="219"/>
        <c:overlap val="-27"/>
        <c:axId val="822532520"/>
        <c:axId val="827317904"/>
      </c:barChart>
      <c:catAx>
        <c:axId val="822532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27317904"/>
        <c:crosses val="autoZero"/>
        <c:auto val="1"/>
        <c:lblAlgn val="ctr"/>
        <c:lblOffset val="100"/>
        <c:noMultiLvlLbl val="0"/>
      </c:catAx>
      <c:valAx>
        <c:axId val="827317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22532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[Test_B5 Kay Roscoe.xlsx]PivotChart!PivotTable2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(Close up) Perce</a:t>
            </a:r>
            <a:r>
              <a:rPr lang="en-US" b="1" baseline="0">
                <a:latin typeface="Arial" panose="020B0604020202020204" pitchFamily="34" charset="0"/>
                <a:cs typeface="Arial" panose="020B0604020202020204" pitchFamily="34" charset="0"/>
              </a:rPr>
              <a:t>ntage waits less than 18 weeks per treament function</a:t>
            </a:r>
            <a:endParaRPr lang="en-US" b="1">
              <a:latin typeface="Arial" panose="020B0604020202020204" pitchFamily="34" charset="0"/>
              <a:cs typeface="Arial" panose="020B0604020202020204" pitchFamily="34" charset="0"/>
            </a:endParaRPr>
          </a:p>
        </c:rich>
      </c:tx>
      <c:layout>
        <c:manualLayout>
          <c:xMode val="edge"/>
          <c:yMode val="edge"/>
          <c:x val="0.17022879756619255"/>
          <c:y val="1.18343195266272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PivotChart!$B$3</c:f>
              <c:strCache>
                <c:ptCount val="1"/>
                <c:pt idx="0">
                  <c:v>Total</c:v>
                </c:pt>
              </c:strCache>
            </c:strRef>
          </c:tx>
          <c:spPr>
            <a:solidFill>
              <a:schemeClr val="accent6"/>
            </a:solidFill>
            <a:ln>
              <a:noFill/>
            </a:ln>
            <a:effectLst/>
          </c:spPr>
          <c:invertIfNegative val="0"/>
          <c:cat>
            <c:strRef>
              <c:f>PivotChart!$A$4:$A$20</c:f>
              <c:strCache>
                <c:ptCount val="16"/>
                <c:pt idx="0">
                  <c:v>Cardiothoracic Surgery</c:v>
                </c:pt>
                <c:pt idx="1">
                  <c:v>General Medicine</c:v>
                </c:pt>
                <c:pt idx="2">
                  <c:v>Geriatric Medicine</c:v>
                </c:pt>
                <c:pt idx="3">
                  <c:v>Dermatology</c:v>
                </c:pt>
                <c:pt idx="4">
                  <c:v>Cardiology</c:v>
                </c:pt>
                <c:pt idx="5">
                  <c:v>Urology</c:v>
                </c:pt>
                <c:pt idx="6">
                  <c:v>Rheumatology</c:v>
                </c:pt>
                <c:pt idx="7">
                  <c:v>Plastic Surgery</c:v>
                </c:pt>
                <c:pt idx="8">
                  <c:v>Neurology</c:v>
                </c:pt>
                <c:pt idx="9">
                  <c:v>Other</c:v>
                </c:pt>
                <c:pt idx="10">
                  <c:v>Gastroenterology</c:v>
                </c:pt>
                <c:pt idx="11">
                  <c:v>Thoracic Medicine</c:v>
                </c:pt>
                <c:pt idx="12">
                  <c:v>Gynaecology</c:v>
                </c:pt>
                <c:pt idx="13">
                  <c:v>General Surgery</c:v>
                </c:pt>
                <c:pt idx="14">
                  <c:v>Neurosurgery</c:v>
                </c:pt>
                <c:pt idx="15">
                  <c:v>Trauma &amp; Orthopaedics</c:v>
                </c:pt>
              </c:strCache>
            </c:strRef>
          </c:cat>
          <c:val>
            <c:numRef>
              <c:f>PivotChart!$B$4:$B$20</c:f>
              <c:numCache>
                <c:formatCode>#,##0.00</c:formatCode>
                <c:ptCount val="16"/>
                <c:pt idx="0">
                  <c:v>100</c:v>
                </c:pt>
                <c:pt idx="1">
                  <c:v>100</c:v>
                </c:pt>
                <c:pt idx="2">
                  <c:v>99.21875</c:v>
                </c:pt>
                <c:pt idx="3">
                  <c:v>97.642163661581137</c:v>
                </c:pt>
                <c:pt idx="4">
                  <c:v>97.03504043126685</c:v>
                </c:pt>
                <c:pt idx="5">
                  <c:v>96.76891615541922</c:v>
                </c:pt>
                <c:pt idx="6">
                  <c:v>96.409335727109521</c:v>
                </c:pt>
                <c:pt idx="7">
                  <c:v>93.157010915197318</c:v>
                </c:pt>
                <c:pt idx="8">
                  <c:v>92.544773011245312</c:v>
                </c:pt>
                <c:pt idx="9">
                  <c:v>92.242914979757089</c:v>
                </c:pt>
                <c:pt idx="10">
                  <c:v>90.864197530864203</c:v>
                </c:pt>
                <c:pt idx="11">
                  <c:v>90.5458089668616</c:v>
                </c:pt>
                <c:pt idx="12">
                  <c:v>90.322580645161295</c:v>
                </c:pt>
                <c:pt idx="13">
                  <c:v>84.199726402188787</c:v>
                </c:pt>
                <c:pt idx="14">
                  <c:v>74.126534466477807</c:v>
                </c:pt>
                <c:pt idx="15">
                  <c:v>68.093974990526718</c:v>
                </c:pt>
              </c:numCache>
            </c:numRef>
          </c:val>
          <c:extLst>
            <c:ext xmlns:c16="http://schemas.microsoft.com/office/drawing/2014/chart" uri="{C3380CC4-5D6E-409C-BE32-E72D297353CC}">
              <c16:uniqueId val="{00000000-08BB-472E-97E7-94E1C0BE46B2}"/>
            </c:ext>
          </c:extLst>
        </c:ser>
        <c:dLbls>
          <c:showLegendKey val="0"/>
          <c:showVal val="0"/>
          <c:showCatName val="0"/>
          <c:showSerName val="0"/>
          <c:showPercent val="0"/>
          <c:showBubbleSize val="0"/>
        </c:dLbls>
        <c:gapWidth val="219"/>
        <c:overlap val="-27"/>
        <c:axId val="822532520"/>
        <c:axId val="827317904"/>
      </c:barChart>
      <c:catAx>
        <c:axId val="822532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27317904"/>
        <c:crosses val="autoZero"/>
        <c:auto val="1"/>
        <c:lblAlgn val="ctr"/>
        <c:lblOffset val="100"/>
        <c:noMultiLvlLbl val="0"/>
      </c:catAx>
      <c:valAx>
        <c:axId val="827317904"/>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22532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165100</xdr:colOff>
      <xdr:row>23</xdr:row>
      <xdr:rowOff>69850</xdr:rowOff>
    </xdr:from>
    <xdr:to>
      <xdr:col>1</xdr:col>
      <xdr:colOff>209550</xdr:colOff>
      <xdr:row>43</xdr:row>
      <xdr:rowOff>171450</xdr:rowOff>
    </xdr:to>
    <mc:AlternateContent xmlns:mc="http://schemas.openxmlformats.org/markup-compatibility/2006" xmlns:a14="http://schemas.microsoft.com/office/drawing/2010/main">
      <mc:Choice Requires="a14">
        <xdr:graphicFrame macro="">
          <xdr:nvGraphicFramePr>
            <xdr:cNvPr id="2" name="Commissioner Org Name 1">
              <a:extLst>
                <a:ext uri="{FF2B5EF4-FFF2-40B4-BE49-F238E27FC236}">
                  <a16:creationId xmlns:a16="http://schemas.microsoft.com/office/drawing/2014/main" id="{A065766C-CE56-4212-B1AD-6754A2F1E2A6}"/>
                </a:ext>
              </a:extLst>
            </xdr:cNvPr>
            <xdr:cNvGraphicFramePr/>
          </xdr:nvGraphicFramePr>
          <xdr:xfrm>
            <a:off x="0" y="0"/>
            <a:ext cx="0" cy="0"/>
          </xdr:xfrm>
          <a:graphic>
            <a:graphicData uri="http://schemas.microsoft.com/office/drawing/2010/slicer">
              <sle:slicer xmlns:sle="http://schemas.microsoft.com/office/drawing/2010/slicer" name="Commissioner Org Name 1"/>
            </a:graphicData>
          </a:graphic>
        </xdr:graphicFrame>
      </mc:Choice>
      <mc:Fallback xmlns="">
        <xdr:sp macro="" textlink="">
          <xdr:nvSpPr>
            <xdr:cNvPr id="0" name=""/>
            <xdr:cNvSpPr>
              <a:spLocks noTextEdit="1"/>
            </xdr:cNvSpPr>
          </xdr:nvSpPr>
          <xdr:spPr>
            <a:xfrm>
              <a:off x="165100" y="4248150"/>
              <a:ext cx="2241550" cy="370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168274</xdr:colOff>
      <xdr:row>0</xdr:row>
      <xdr:rowOff>260350</xdr:rowOff>
    </xdr:from>
    <xdr:to>
      <xdr:col>40</xdr:col>
      <xdr:colOff>31750</xdr:colOff>
      <xdr:row>31</xdr:row>
      <xdr:rowOff>25400</xdr:rowOff>
    </xdr:to>
    <xdr:graphicFrame macro="">
      <xdr:nvGraphicFramePr>
        <xdr:cNvPr id="3" name="Chart 2">
          <a:extLst>
            <a:ext uri="{FF2B5EF4-FFF2-40B4-BE49-F238E27FC236}">
              <a16:creationId xmlns:a16="http://schemas.microsoft.com/office/drawing/2014/main" id="{2A0BDC38-DB6B-5ADA-2702-36DA06CFB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37</xdr:row>
      <xdr:rowOff>19050</xdr:rowOff>
    </xdr:from>
    <xdr:to>
      <xdr:col>39</xdr:col>
      <xdr:colOff>66676</xdr:colOff>
      <xdr:row>67</xdr:row>
      <xdr:rowOff>50800</xdr:rowOff>
    </xdr:to>
    <xdr:graphicFrame macro="">
      <xdr:nvGraphicFramePr>
        <xdr:cNvPr id="4" name="Chart 3">
          <a:extLst>
            <a:ext uri="{FF2B5EF4-FFF2-40B4-BE49-F238E27FC236}">
              <a16:creationId xmlns:a16="http://schemas.microsoft.com/office/drawing/2014/main" id="{ABBA8163-1485-410B-9CA4-34853DCBE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165100</xdr:colOff>
      <xdr:row>23</xdr:row>
      <xdr:rowOff>69850</xdr:rowOff>
    </xdr:from>
    <xdr:to>
      <xdr:col>1</xdr:col>
      <xdr:colOff>209550</xdr:colOff>
      <xdr:row>44</xdr:row>
      <xdr:rowOff>38100</xdr:rowOff>
    </xdr:to>
    <mc:AlternateContent xmlns:mc="http://schemas.openxmlformats.org/markup-compatibility/2006" xmlns:a14="http://schemas.microsoft.com/office/drawing/2010/main">
      <mc:Choice Requires="a14">
        <xdr:graphicFrame macro="">
          <xdr:nvGraphicFramePr>
            <xdr:cNvPr id="2" name="Commissioner Org Name">
              <a:extLst>
                <a:ext uri="{FF2B5EF4-FFF2-40B4-BE49-F238E27FC236}">
                  <a16:creationId xmlns:a16="http://schemas.microsoft.com/office/drawing/2014/main" id="{9B33096C-FFB7-7526-EC66-B9A21F1BE695}"/>
                </a:ext>
              </a:extLst>
            </xdr:cNvPr>
            <xdr:cNvGraphicFramePr/>
          </xdr:nvGraphicFramePr>
          <xdr:xfrm>
            <a:off x="0" y="0"/>
            <a:ext cx="0" cy="0"/>
          </xdr:xfrm>
          <a:graphic>
            <a:graphicData uri="http://schemas.microsoft.com/office/drawing/2010/slicer">
              <sle:slicer xmlns:sle="http://schemas.microsoft.com/office/drawing/2010/slicer" name="Commissioner Org Name"/>
            </a:graphicData>
          </a:graphic>
        </xdr:graphicFrame>
      </mc:Choice>
      <mc:Fallback xmlns="">
        <xdr:sp macro="" textlink="">
          <xdr:nvSpPr>
            <xdr:cNvPr id="0" name=""/>
            <xdr:cNvSpPr>
              <a:spLocks noTextEdit="1"/>
            </xdr:cNvSpPr>
          </xdr:nvSpPr>
          <xdr:spPr>
            <a:xfrm>
              <a:off x="165100" y="4248150"/>
              <a:ext cx="2241550" cy="370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 refreshedDate="45301.876546527776" createdVersion="8" refreshedVersion="8" minRefreshableVersion="3" recordCount="515" xr:uid="{02DEF93E-5283-4831-B166-26E7735A0C65}">
  <cacheSource type="worksheet">
    <worksheetSource ref="A1:K516" sheet="RTT Data"/>
  </cacheSource>
  <cacheFields count="12">
    <cacheField name="Year" numFmtId="0">
      <sharedItems/>
    </cacheField>
    <cacheField name="Period Name" numFmtId="0">
      <sharedItems/>
    </cacheField>
    <cacheField name="Provider Org Code" numFmtId="0">
      <sharedItems/>
    </cacheField>
    <cacheField name="Provider Org Name" numFmtId="0">
      <sharedItems/>
    </cacheField>
    <cacheField name="Commissioner Org Code" numFmtId="0">
      <sharedItems/>
    </cacheField>
    <cacheField name="Commissioner Org Name" numFmtId="0">
      <sharedItems count="133">
        <s v="NHS NORTH HAMPSHIRE CCG"/>
        <s v="NHS FAREHAM AND GOSPORT CCG"/>
        <s v="NHS ISLE OF WIGHT CCG"/>
        <s v="NHS PORTSMOUTH CCG"/>
        <s v="NHS SOUTH EASTERN HAMPSHIRE CCG"/>
        <s v="NHS SOUTHAMPTON CCG"/>
        <s v="NHS WEST HAMPSHIRE CCG"/>
        <s v="NHS DORSET CCG"/>
        <s v="NHS NORTH EAST HAMPSHIRE AND FARNHAM CCG"/>
        <s v="NHS BARKING AND DAGENHAM CCG"/>
        <s v="NHS BARNET CCG"/>
        <s v="NHS BEXLEY CCG"/>
        <s v="NHS BRENT CCG"/>
        <s v="NHS BROMLEY CCG"/>
        <s v="NHS CITY AND HACKNEY CCG"/>
        <s v="NHS EALING CCG"/>
        <s v="NHS ENFIELD CCG"/>
        <s v="NHS HOUNSLOW CCG"/>
        <s v="NHS GREENWICH CCG"/>
        <s v="NHS HAMMERSMITH AND FULHAM CCG"/>
        <s v="NHS HARINGEY CCG"/>
        <s v="NHS HAVERING CCG"/>
        <s v="NHS HILLINGDON CCG"/>
        <s v="NHS ISLINGTON CCG"/>
        <s v="NHS KINGSTON CCG"/>
        <s v="NHS LAMBETH CCG"/>
        <s v="NHS LEWISHAM CCG"/>
        <s v="NHS REDBRIDGE CCG"/>
        <s v="NHS RICHMOND CCG"/>
        <s v="NHS SOUTHWARK CCG"/>
        <s v="NHS WEST LONDON CCG"/>
        <s v="NHS BRADFORD DISTRICTS CCG"/>
        <s v="NHS CALDERDALE CCG"/>
        <s v="NHS BRADFORD CITY CCG"/>
        <s v="NHS DONCASTER CCG"/>
        <s v="NHS EAST RIDING OF YORKSHIRE CCG"/>
        <s v="NHS GREATER HUDDERSFIELD CCG"/>
        <s v="NHS LEEDS WEST CCG"/>
        <s v="NHS ROTHERHAM CCG"/>
        <s v="NHS SHEFFIELD CCG"/>
        <s v="NHS VALE OF YORK CCG"/>
        <s v="NHS DURHAM DALES, EASINGTON AND SEDGEFIELD CCG"/>
        <s v="NHS NORTH DURHAM CCG"/>
        <s v="NHS NORTHUMBERLAND CCG"/>
        <s v="NHS NORTH CUMBRIA CCG"/>
        <s v="NHS NEWCASTLE GATESHEAD CCG"/>
        <s v="NHS SOUTH SEFTON CCG"/>
        <s v="NHS SOUTHPORT AND FORMBY CCG"/>
        <s v="NHS WEST CHESHIRE CCG"/>
        <s v="NHS WIRRAL CCG"/>
        <s v="NHS LIVERPOOL CCG"/>
        <s v="NHS HARDWICK CCG"/>
        <s v="NHS NORTH DERBYSHIRE CCG"/>
        <s v="NHS NOTTINGHAM CITY CCG"/>
        <s v="NHS RUSHCLIFFE CCG"/>
        <s v="NHS SOUTHERN DERBYSHIRE CCG"/>
        <s v="NHS CANNOCK CHASE CCG"/>
        <s v="NHS EAST STAFFORDSHIRE CCG"/>
        <s v="NHS SHROPSHIRE CCG"/>
        <s v="NHS SOUTH EAST STAFFORDSHIRE AND SEISDON PENINSULA CCG"/>
        <s v="NHS STAFFORD AND SURROUNDS CCG"/>
        <s v="NHS STOKE ON TRENT CCG"/>
        <s v="NHS TELFORD AND WREKIN CCG"/>
        <s v="NHS BIRMINGHAM SOUTH AND CENTRAL CCG"/>
        <s v="NHS COVENTRY AND RUGBY CCG"/>
        <s v="NHS DUDLEY CCG"/>
        <s v="NHS HEREFORDSHIRE CCG"/>
        <s v="NHS WARWICKSHIRE NORTH CCG"/>
        <s v="NHS REDDITCH AND BROMSGROVE CCG"/>
        <s v="NHS SANDWELL AND WEST BIRMINGHAM CCG"/>
        <s v="NHS SOLIHULL CCG"/>
        <s v="NHS SOUTH WARWICKSHIRE CCG"/>
        <s v="NHS SOUTH WORCESTERSHIRE CCG"/>
        <s v="NHS WALSALL CCG"/>
        <s v="NHS WOLVERHAMPTON CCG"/>
        <s v="NHS WYRE FOREST CCG"/>
        <s v="NHS BIRMINGHAM CROSSCITY CCG"/>
        <s v="NHS CORBY CCG"/>
        <s v="NHS EAST LEICESTERSHIRE AND RUTLAND CCG"/>
        <s v="NHS LEICESTER CITY CCG"/>
        <s v="NHS MILTON KEYNES CCG"/>
        <s v="NHS WEST LEICESTERSHIRE CCG"/>
        <s v="NHS EAST AND NORTH HERTFORDSHIRE CCG"/>
        <s v="NHS HERTS VALLEYS CCG"/>
        <s v="NHS CAMBRIDGESHIRE AND PETERBOROUGH CCG"/>
        <s v="NHS MID ESSEX CCG"/>
        <s v="NHS SOUTH NORFOLK CCG"/>
        <s v="NHS THURROCK CCG"/>
        <s v="NHS CASTLE POINT AND ROCHFORD CCG"/>
        <s v="NHS SOUTHEND CCG"/>
        <s v="NHS BRISTOL CCG"/>
        <s v="NHS KERNOW CCG"/>
        <s v="NHS NORTH SOMERSET CCG"/>
        <s v="NHS SOMERSET CCG"/>
        <s v="NHS SOUTH GLOUCESTERSHIRE CCG"/>
        <s v="NHS NORTHERN, EASTERN AND WESTERN DEVON CCG"/>
        <s v="NHS SOUTH DEVON AND TORBAY CCG"/>
        <s v="NHS BRIGHTON AND HOVE CCG"/>
        <s v="NHS CANTERBURY AND COASTAL CCG"/>
        <s v="NHS EASTBOURNE, HAILSHAM AND SEAFORD CCG"/>
        <s v="NHS COASTAL WEST SUSSEX CCG"/>
        <s v="NHS EAST SURREY CCG"/>
        <s v="NHS GUILDFORD AND WAVERLEY CCG"/>
        <s v="NHS HASTINGS AND ROTHER CCG"/>
        <s v="NHS HORSHAM AND MID SUSSEX CCG"/>
        <s v="NHS NORTH WEST SURREY CCG"/>
        <s v="NHS SOUTH KENT COAST CCG"/>
        <s v="NHS SWALE CCG"/>
        <s v="NHS SURREY DOWNS CCG"/>
        <s v="NHS WEST KENT CCG"/>
        <s v="NHS HIGH WEALD LEWES HAVENS CCG"/>
        <s v="NHS BRACKNELL AND ASCOT CCG"/>
        <s v="NHS NEWBURY AND DISTRICT CCG"/>
        <s v="NHS NORTH AND WEST READING CCG"/>
        <s v="NHS OXFORDSHIRE CCG"/>
        <s v="NHS SLOUGH CCG"/>
        <s v="NHS SOUTH READING CCG"/>
        <s v="NHS AYLESBURY VALE CCG"/>
        <s v="NHS WINDSOR, ASCOT AND MAIDENHEAD CCG"/>
        <s v="NHS WOKINGHAM CCG"/>
        <s v="NHS BATH AND NORTH EAST SOMERSET CCG"/>
        <s v="NHS GLOUCESTERSHIRE CCG"/>
        <s v="NHS SWINDON CCG"/>
        <s v="NHS WILTSHIRE CCG"/>
        <s v="NHS NORTH MANCHESTER CCG"/>
        <s v="NHS SOUTH MANCHESTER CCG"/>
        <s v="NHS STOCKPORT CCG"/>
        <s v="NHS TRAFFORD CCG"/>
        <s v="NHS BLACKBURN WITH DARWEN CCG"/>
        <s v="NHS EAST LANCASHIRE CCG"/>
        <s v="NHS FYLDE AND WYRE CCG"/>
        <s v="NON ENGLISH COMMISSIONER"/>
        <s v="NHS ENGLAND"/>
      </sharedItems>
    </cacheField>
    <cacheField name="RTT Part Description" numFmtId="0">
      <sharedItems/>
    </cacheField>
    <cacheField name="Treatment Function Name" numFmtId="0">
      <sharedItems count="17">
        <s v="Trauma &amp; Orthopaedics"/>
        <s v="Gynaecology"/>
        <s v="Total"/>
        <s v="Other"/>
        <s v="Neurosurgery"/>
        <s v="Neurology"/>
        <s v="Urology"/>
        <s v="General Surgery"/>
        <s v="Plastic Surgery"/>
        <s v="Gastroenterology"/>
        <s v="Rheumatology"/>
        <s v="Cardiology"/>
        <s v="Dermatology"/>
        <s v="Thoracic Medicine"/>
        <s v="Cardiothoracic Surgery"/>
        <s v="General Medicine"/>
        <s v="Geriatric Medicine"/>
      </sharedItems>
    </cacheField>
    <cacheField name="&lt;18wks" numFmtId="0">
      <sharedItems containsSemiMixedTypes="0" containsString="0" containsNumber="1" containsInteger="1" minValue="0" maxValue="10105" count="103">
        <n v="1"/>
        <n v="0"/>
        <n v="3"/>
        <n v="2"/>
        <n v="4"/>
        <n v="9"/>
        <n v="8"/>
        <n v="47"/>
        <n v="11"/>
        <n v="5"/>
        <n v="7"/>
        <n v="6"/>
        <n v="35"/>
        <n v="26"/>
        <n v="515"/>
        <n v="1133"/>
        <n v="1555"/>
        <n v="239"/>
        <n v="635"/>
        <n v="18"/>
        <n v="25"/>
        <n v="279"/>
        <n v="352"/>
        <n v="520"/>
        <n v="325"/>
        <n v="898"/>
        <n v="199"/>
        <n v="36"/>
        <n v="1198"/>
        <n v="10105"/>
        <n v="2178"/>
        <n v="10"/>
        <n v="76"/>
        <n v="137"/>
        <n v="281"/>
        <n v="475"/>
        <n v="89"/>
        <n v="244"/>
        <n v="88"/>
        <n v="126"/>
        <n v="196"/>
        <n v="106"/>
        <n v="462"/>
        <n v="61"/>
        <n v="415"/>
        <n v="3515"/>
        <n v="811"/>
        <n v="17"/>
        <n v="70"/>
        <n v="85"/>
        <n v="170"/>
        <n v="22"/>
        <n v="14"/>
        <n v="74"/>
        <n v="34"/>
        <n v="824"/>
        <n v="232"/>
        <n v="488"/>
        <n v="649"/>
        <n v="1113"/>
        <n v="101"/>
        <n v="691"/>
        <n v="13"/>
        <n v="51"/>
        <n v="319"/>
        <n v="554"/>
        <n v="591"/>
        <n v="432"/>
        <n v="506"/>
        <n v="253"/>
        <n v="82"/>
        <n v="1048"/>
        <n v="8470"/>
        <n v="1579"/>
        <n v="19"/>
        <n v="29"/>
        <n v="122"/>
        <n v="37"/>
        <n v="49"/>
        <n v="53"/>
        <n v="153"/>
        <n v="58"/>
        <n v="842"/>
        <n v="311"/>
        <n v="42"/>
        <n v="112"/>
        <n v="139"/>
        <n v="57"/>
        <n v="46"/>
        <n v="687"/>
        <n v="119"/>
        <n v="23"/>
        <n v="99"/>
        <n v="24"/>
        <n v="64"/>
        <n v="132"/>
        <n v="750"/>
        <n v="314"/>
        <n v="45"/>
        <n v="15"/>
        <n v="145"/>
        <n v="20"/>
        <n v="59"/>
      </sharedItems>
    </cacheField>
    <cacheField name="&gt;=18wks" numFmtId="0">
      <sharedItems containsSemiMixedTypes="0" containsString="0" containsNumber="1" containsInteger="1" minValue="0" maxValue="1472"/>
    </cacheField>
    <cacheField name="Total" numFmtId="0">
      <sharedItems containsSemiMixedTypes="0" containsString="0" containsNumber="1" containsInteger="1" minValue="1" maxValue="11577"/>
    </cacheField>
    <cacheField name="Percentage Waits under 18 weeks" numFmtId="0" formula="'&lt;18wks'* 100 /Total" databaseField="0"/>
  </cacheFields>
  <extLst>
    <ext xmlns:x14="http://schemas.microsoft.com/office/spreadsheetml/2009/9/main" uri="{725AE2AE-9491-48be-B2B4-4EB974FC3084}">
      <x14:pivotCacheDefinition pivotCacheId="1997330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5">
  <r>
    <s v="2016-17"/>
    <s v="MARCH"/>
    <s v="RVJ"/>
    <s v="NORTH BRISTOL NHS TRUST"/>
    <s v="10J"/>
    <x v="0"/>
    <s v="Incomplete Pathways"/>
    <x v="0"/>
    <x v="0"/>
    <n v="0"/>
    <n v="1"/>
  </r>
  <r>
    <s v="2016-17"/>
    <s v="MARCH"/>
    <s v="RVJ"/>
    <s v="NORTH BRISTOL NHS TRUST"/>
    <s v="10J"/>
    <x v="0"/>
    <s v="Incomplete Pathways"/>
    <x v="1"/>
    <x v="1"/>
    <n v="1"/>
    <n v="1"/>
  </r>
  <r>
    <s v="2016-17"/>
    <s v="MARCH"/>
    <s v="RVJ"/>
    <s v="NORTH BRISTOL NHS TRUST"/>
    <s v="10J"/>
    <x v="0"/>
    <s v="Incomplete Pathways"/>
    <x v="2"/>
    <x v="0"/>
    <n v="1"/>
    <n v="2"/>
  </r>
  <r>
    <s v="2016-17"/>
    <s v="MARCH"/>
    <s v="RVJ"/>
    <s v="NORTH BRISTOL NHS TRUST"/>
    <s v="10K"/>
    <x v="1"/>
    <s v="Incomplete Pathways"/>
    <x v="0"/>
    <x v="2"/>
    <n v="1"/>
    <n v="4"/>
  </r>
  <r>
    <s v="2016-17"/>
    <s v="MARCH"/>
    <s v="RVJ"/>
    <s v="NORTH BRISTOL NHS TRUST"/>
    <s v="10K"/>
    <x v="1"/>
    <s v="Incomplete Pathways"/>
    <x v="2"/>
    <x v="2"/>
    <n v="1"/>
    <n v="4"/>
  </r>
  <r>
    <s v="2016-17"/>
    <s v="MARCH"/>
    <s v="RVJ"/>
    <s v="NORTH BRISTOL NHS TRUST"/>
    <s v="10L"/>
    <x v="2"/>
    <s v="Incomplete Pathways"/>
    <x v="2"/>
    <x v="0"/>
    <n v="0"/>
    <n v="1"/>
  </r>
  <r>
    <s v="2016-17"/>
    <s v="MARCH"/>
    <s v="RVJ"/>
    <s v="NORTH BRISTOL NHS TRUST"/>
    <s v="10L"/>
    <x v="2"/>
    <s v="Incomplete Pathways"/>
    <x v="3"/>
    <x v="0"/>
    <n v="0"/>
    <n v="1"/>
  </r>
  <r>
    <s v="2016-17"/>
    <s v="MARCH"/>
    <s v="RVJ"/>
    <s v="NORTH BRISTOL NHS TRUST"/>
    <s v="10R"/>
    <x v="3"/>
    <s v="Incomplete Pathways"/>
    <x v="0"/>
    <x v="1"/>
    <n v="2"/>
    <n v="2"/>
  </r>
  <r>
    <s v="2016-17"/>
    <s v="MARCH"/>
    <s v="RVJ"/>
    <s v="NORTH BRISTOL NHS TRUST"/>
    <s v="10R"/>
    <x v="3"/>
    <s v="Incomplete Pathways"/>
    <x v="4"/>
    <x v="1"/>
    <n v="1"/>
    <n v="1"/>
  </r>
  <r>
    <s v="2016-17"/>
    <s v="MARCH"/>
    <s v="RVJ"/>
    <s v="NORTH BRISTOL NHS TRUST"/>
    <s v="10R"/>
    <x v="3"/>
    <s v="Incomplete Pathways"/>
    <x v="2"/>
    <x v="3"/>
    <n v="3"/>
    <n v="5"/>
  </r>
  <r>
    <s v="2016-17"/>
    <s v="MARCH"/>
    <s v="RVJ"/>
    <s v="NORTH BRISTOL NHS TRUST"/>
    <s v="10R"/>
    <x v="3"/>
    <s v="Incomplete Pathways"/>
    <x v="3"/>
    <x v="3"/>
    <n v="0"/>
    <n v="2"/>
  </r>
  <r>
    <s v="2016-17"/>
    <s v="MARCH"/>
    <s v="RVJ"/>
    <s v="NORTH BRISTOL NHS TRUST"/>
    <s v="10V"/>
    <x v="4"/>
    <s v="Incomplete Pathways"/>
    <x v="0"/>
    <x v="0"/>
    <n v="1"/>
    <n v="2"/>
  </r>
  <r>
    <s v="2016-17"/>
    <s v="MARCH"/>
    <s v="RVJ"/>
    <s v="NORTH BRISTOL NHS TRUST"/>
    <s v="10V"/>
    <x v="4"/>
    <s v="Incomplete Pathways"/>
    <x v="1"/>
    <x v="0"/>
    <n v="0"/>
    <n v="1"/>
  </r>
  <r>
    <s v="2016-17"/>
    <s v="MARCH"/>
    <s v="RVJ"/>
    <s v="NORTH BRISTOL NHS TRUST"/>
    <s v="10V"/>
    <x v="4"/>
    <s v="Incomplete Pathways"/>
    <x v="2"/>
    <x v="2"/>
    <n v="1"/>
    <n v="4"/>
  </r>
  <r>
    <s v="2016-17"/>
    <s v="MARCH"/>
    <s v="RVJ"/>
    <s v="NORTH BRISTOL NHS TRUST"/>
    <s v="10V"/>
    <x v="4"/>
    <s v="Incomplete Pathways"/>
    <x v="3"/>
    <x v="0"/>
    <n v="0"/>
    <n v="1"/>
  </r>
  <r>
    <s v="2016-17"/>
    <s v="MARCH"/>
    <s v="RVJ"/>
    <s v="NORTH BRISTOL NHS TRUST"/>
    <s v="10X"/>
    <x v="5"/>
    <s v="Incomplete Pathways"/>
    <x v="5"/>
    <x v="0"/>
    <n v="0"/>
    <n v="1"/>
  </r>
  <r>
    <s v="2016-17"/>
    <s v="MARCH"/>
    <s v="RVJ"/>
    <s v="NORTH BRISTOL NHS TRUST"/>
    <s v="10X"/>
    <x v="5"/>
    <s v="Incomplete Pathways"/>
    <x v="1"/>
    <x v="1"/>
    <n v="1"/>
    <n v="1"/>
  </r>
  <r>
    <s v="2016-17"/>
    <s v="MARCH"/>
    <s v="RVJ"/>
    <s v="NORTH BRISTOL NHS TRUST"/>
    <s v="10X"/>
    <x v="5"/>
    <s v="Incomplete Pathways"/>
    <x v="2"/>
    <x v="0"/>
    <n v="2"/>
    <n v="3"/>
  </r>
  <r>
    <s v="2016-17"/>
    <s v="MARCH"/>
    <s v="RVJ"/>
    <s v="NORTH BRISTOL NHS TRUST"/>
    <s v="10X"/>
    <x v="5"/>
    <s v="Incomplete Pathways"/>
    <x v="3"/>
    <x v="1"/>
    <n v="1"/>
    <n v="1"/>
  </r>
  <r>
    <s v="2016-17"/>
    <s v="MARCH"/>
    <s v="RVJ"/>
    <s v="NORTH BRISTOL NHS TRUST"/>
    <s v="11A"/>
    <x v="6"/>
    <s v="Incomplete Pathways"/>
    <x v="6"/>
    <x v="0"/>
    <n v="0"/>
    <n v="1"/>
  </r>
  <r>
    <s v="2016-17"/>
    <s v="MARCH"/>
    <s v="RVJ"/>
    <s v="NORTH BRISTOL NHS TRUST"/>
    <s v="11A"/>
    <x v="6"/>
    <s v="Incomplete Pathways"/>
    <x v="0"/>
    <x v="3"/>
    <n v="1"/>
    <n v="3"/>
  </r>
  <r>
    <s v="2016-17"/>
    <s v="MARCH"/>
    <s v="RVJ"/>
    <s v="NORTH BRISTOL NHS TRUST"/>
    <s v="11A"/>
    <x v="6"/>
    <s v="Incomplete Pathways"/>
    <x v="4"/>
    <x v="4"/>
    <n v="1"/>
    <n v="5"/>
  </r>
  <r>
    <s v="2016-17"/>
    <s v="MARCH"/>
    <s v="RVJ"/>
    <s v="NORTH BRISTOL NHS TRUST"/>
    <s v="11A"/>
    <x v="6"/>
    <s v="Incomplete Pathways"/>
    <x v="1"/>
    <x v="0"/>
    <n v="0"/>
    <n v="1"/>
  </r>
  <r>
    <s v="2016-17"/>
    <s v="MARCH"/>
    <s v="RVJ"/>
    <s v="NORTH BRISTOL NHS TRUST"/>
    <s v="11A"/>
    <x v="6"/>
    <s v="Incomplete Pathways"/>
    <x v="2"/>
    <x v="5"/>
    <n v="3"/>
    <n v="12"/>
  </r>
  <r>
    <s v="2016-17"/>
    <s v="MARCH"/>
    <s v="RVJ"/>
    <s v="NORTH BRISTOL NHS TRUST"/>
    <s v="11A"/>
    <x v="6"/>
    <s v="Incomplete Pathways"/>
    <x v="3"/>
    <x v="0"/>
    <n v="1"/>
    <n v="2"/>
  </r>
  <r>
    <s v="2016-17"/>
    <s v="MARCH"/>
    <s v="RVJ"/>
    <s v="NORTH BRISTOL NHS TRUST"/>
    <s v="11J"/>
    <x v="7"/>
    <s v="Incomplete Pathways"/>
    <x v="7"/>
    <x v="0"/>
    <n v="0"/>
    <n v="1"/>
  </r>
  <r>
    <s v="2016-17"/>
    <s v="MARCH"/>
    <s v="RVJ"/>
    <s v="NORTH BRISTOL NHS TRUST"/>
    <s v="11J"/>
    <x v="7"/>
    <s v="Incomplete Pathways"/>
    <x v="6"/>
    <x v="4"/>
    <n v="1"/>
    <n v="5"/>
  </r>
  <r>
    <s v="2016-17"/>
    <s v="MARCH"/>
    <s v="RVJ"/>
    <s v="NORTH BRISTOL NHS TRUST"/>
    <s v="11J"/>
    <x v="7"/>
    <s v="Incomplete Pathways"/>
    <x v="0"/>
    <x v="6"/>
    <n v="3"/>
    <n v="11"/>
  </r>
  <r>
    <s v="2016-17"/>
    <s v="MARCH"/>
    <s v="RVJ"/>
    <s v="NORTH BRISTOL NHS TRUST"/>
    <s v="11J"/>
    <x v="7"/>
    <s v="Incomplete Pathways"/>
    <x v="4"/>
    <x v="6"/>
    <n v="3"/>
    <n v="11"/>
  </r>
  <r>
    <s v="2016-17"/>
    <s v="MARCH"/>
    <s v="RVJ"/>
    <s v="NORTH BRISTOL NHS TRUST"/>
    <s v="11J"/>
    <x v="7"/>
    <s v="Incomplete Pathways"/>
    <x v="8"/>
    <x v="6"/>
    <n v="1"/>
    <n v="9"/>
  </r>
  <r>
    <s v="2016-17"/>
    <s v="MARCH"/>
    <s v="RVJ"/>
    <s v="NORTH BRISTOL NHS TRUST"/>
    <s v="11J"/>
    <x v="7"/>
    <s v="Incomplete Pathways"/>
    <x v="9"/>
    <x v="2"/>
    <n v="1"/>
    <n v="4"/>
  </r>
  <r>
    <s v="2016-17"/>
    <s v="MARCH"/>
    <s v="RVJ"/>
    <s v="NORTH BRISTOL NHS TRUST"/>
    <s v="11J"/>
    <x v="7"/>
    <s v="Incomplete Pathways"/>
    <x v="5"/>
    <x v="2"/>
    <n v="0"/>
    <n v="3"/>
  </r>
  <r>
    <s v="2016-17"/>
    <s v="MARCH"/>
    <s v="RVJ"/>
    <s v="NORTH BRISTOL NHS TRUST"/>
    <s v="11J"/>
    <x v="7"/>
    <s v="Incomplete Pathways"/>
    <x v="10"/>
    <x v="0"/>
    <n v="0"/>
    <n v="1"/>
  </r>
  <r>
    <s v="2016-17"/>
    <s v="MARCH"/>
    <s v="RVJ"/>
    <s v="NORTH BRISTOL NHS TRUST"/>
    <s v="11J"/>
    <x v="7"/>
    <s v="Incomplete Pathways"/>
    <x v="2"/>
    <x v="7"/>
    <n v="13"/>
    <n v="60"/>
  </r>
  <r>
    <s v="2016-17"/>
    <s v="MARCH"/>
    <s v="RVJ"/>
    <s v="NORTH BRISTOL NHS TRUST"/>
    <s v="11J"/>
    <x v="7"/>
    <s v="Incomplete Pathways"/>
    <x v="3"/>
    <x v="8"/>
    <n v="4"/>
    <n v="15"/>
  </r>
  <r>
    <s v="2016-17"/>
    <s v="MARCH"/>
    <s v="RVJ"/>
    <s v="NORTH BRISTOL NHS TRUST"/>
    <s v="99M"/>
    <x v="8"/>
    <s v="Incomplete Pathways"/>
    <x v="0"/>
    <x v="0"/>
    <n v="1"/>
    <n v="2"/>
  </r>
  <r>
    <s v="2016-17"/>
    <s v="MARCH"/>
    <s v="RVJ"/>
    <s v="NORTH BRISTOL NHS TRUST"/>
    <s v="99M"/>
    <x v="8"/>
    <s v="Incomplete Pathways"/>
    <x v="2"/>
    <x v="0"/>
    <n v="1"/>
    <n v="2"/>
  </r>
  <r>
    <s v="2016-17"/>
    <s v="MARCH"/>
    <s v="RVJ"/>
    <s v="NORTH BRISTOL NHS TRUST"/>
    <s v="07L"/>
    <x v="9"/>
    <s v="Incomplete Pathways"/>
    <x v="0"/>
    <x v="0"/>
    <n v="0"/>
    <n v="1"/>
  </r>
  <r>
    <s v="2016-17"/>
    <s v="MARCH"/>
    <s v="RVJ"/>
    <s v="NORTH BRISTOL NHS TRUST"/>
    <s v="07L"/>
    <x v="9"/>
    <s v="Incomplete Pathways"/>
    <x v="4"/>
    <x v="0"/>
    <n v="0"/>
    <n v="1"/>
  </r>
  <r>
    <s v="2016-17"/>
    <s v="MARCH"/>
    <s v="RVJ"/>
    <s v="NORTH BRISTOL NHS TRUST"/>
    <s v="07L"/>
    <x v="9"/>
    <s v="Incomplete Pathways"/>
    <x v="1"/>
    <x v="1"/>
    <n v="1"/>
    <n v="1"/>
  </r>
  <r>
    <s v="2016-17"/>
    <s v="MARCH"/>
    <s v="RVJ"/>
    <s v="NORTH BRISTOL NHS TRUST"/>
    <s v="07L"/>
    <x v="9"/>
    <s v="Incomplete Pathways"/>
    <x v="2"/>
    <x v="3"/>
    <n v="1"/>
    <n v="3"/>
  </r>
  <r>
    <s v="2016-17"/>
    <s v="MARCH"/>
    <s v="RVJ"/>
    <s v="NORTH BRISTOL NHS TRUST"/>
    <s v="07M"/>
    <x v="10"/>
    <s v="Incomplete Pathways"/>
    <x v="4"/>
    <x v="0"/>
    <n v="0"/>
    <n v="1"/>
  </r>
  <r>
    <s v="2016-17"/>
    <s v="MARCH"/>
    <s v="RVJ"/>
    <s v="NORTH BRISTOL NHS TRUST"/>
    <s v="07M"/>
    <x v="10"/>
    <s v="Incomplete Pathways"/>
    <x v="2"/>
    <x v="0"/>
    <n v="0"/>
    <n v="1"/>
  </r>
  <r>
    <s v="2016-17"/>
    <s v="MARCH"/>
    <s v="RVJ"/>
    <s v="NORTH BRISTOL NHS TRUST"/>
    <s v="07N"/>
    <x v="11"/>
    <s v="Incomplete Pathways"/>
    <x v="0"/>
    <x v="1"/>
    <n v="1"/>
    <n v="1"/>
  </r>
  <r>
    <s v="2016-17"/>
    <s v="MARCH"/>
    <s v="RVJ"/>
    <s v="NORTH BRISTOL NHS TRUST"/>
    <s v="07N"/>
    <x v="11"/>
    <s v="Incomplete Pathways"/>
    <x v="2"/>
    <x v="1"/>
    <n v="1"/>
    <n v="1"/>
  </r>
  <r>
    <s v="2016-17"/>
    <s v="MARCH"/>
    <s v="RVJ"/>
    <s v="NORTH BRISTOL NHS TRUST"/>
    <s v="07P"/>
    <x v="12"/>
    <s v="Incomplete Pathways"/>
    <x v="11"/>
    <x v="0"/>
    <n v="0"/>
    <n v="1"/>
  </r>
  <r>
    <s v="2016-17"/>
    <s v="MARCH"/>
    <s v="RVJ"/>
    <s v="NORTH BRISTOL NHS TRUST"/>
    <s v="07P"/>
    <x v="12"/>
    <s v="Incomplete Pathways"/>
    <x v="2"/>
    <x v="0"/>
    <n v="0"/>
    <n v="1"/>
  </r>
  <r>
    <s v="2016-17"/>
    <s v="MARCH"/>
    <s v="RVJ"/>
    <s v="NORTH BRISTOL NHS TRUST"/>
    <s v="07Q"/>
    <x v="13"/>
    <s v="Incomplete Pathways"/>
    <x v="4"/>
    <x v="0"/>
    <n v="0"/>
    <n v="1"/>
  </r>
  <r>
    <s v="2016-17"/>
    <s v="MARCH"/>
    <s v="RVJ"/>
    <s v="NORTH BRISTOL NHS TRUST"/>
    <s v="07Q"/>
    <x v="13"/>
    <s v="Incomplete Pathways"/>
    <x v="2"/>
    <x v="0"/>
    <n v="0"/>
    <n v="1"/>
  </r>
  <r>
    <s v="2016-17"/>
    <s v="MARCH"/>
    <s v="RVJ"/>
    <s v="NORTH BRISTOL NHS TRUST"/>
    <s v="07T"/>
    <x v="14"/>
    <s v="Incomplete Pathways"/>
    <x v="5"/>
    <x v="0"/>
    <n v="0"/>
    <n v="1"/>
  </r>
  <r>
    <s v="2016-17"/>
    <s v="MARCH"/>
    <s v="RVJ"/>
    <s v="NORTH BRISTOL NHS TRUST"/>
    <s v="07T"/>
    <x v="14"/>
    <s v="Incomplete Pathways"/>
    <x v="2"/>
    <x v="0"/>
    <n v="0"/>
    <n v="1"/>
  </r>
  <r>
    <s v="2016-17"/>
    <s v="MARCH"/>
    <s v="RVJ"/>
    <s v="NORTH BRISTOL NHS TRUST"/>
    <s v="07W"/>
    <x v="15"/>
    <s v="Incomplete Pathways"/>
    <x v="2"/>
    <x v="0"/>
    <n v="0"/>
    <n v="1"/>
  </r>
  <r>
    <s v="2016-17"/>
    <s v="MARCH"/>
    <s v="RVJ"/>
    <s v="NORTH BRISTOL NHS TRUST"/>
    <s v="07W"/>
    <x v="15"/>
    <s v="Incomplete Pathways"/>
    <x v="3"/>
    <x v="0"/>
    <n v="0"/>
    <n v="1"/>
  </r>
  <r>
    <s v="2016-17"/>
    <s v="MARCH"/>
    <s v="RVJ"/>
    <s v="NORTH BRISTOL NHS TRUST"/>
    <s v="07X"/>
    <x v="16"/>
    <s v="Incomplete Pathways"/>
    <x v="4"/>
    <x v="0"/>
    <n v="0"/>
    <n v="1"/>
  </r>
  <r>
    <s v="2016-17"/>
    <s v="MARCH"/>
    <s v="RVJ"/>
    <s v="NORTH BRISTOL NHS TRUST"/>
    <s v="07X"/>
    <x v="16"/>
    <s v="Incomplete Pathways"/>
    <x v="2"/>
    <x v="0"/>
    <n v="0"/>
    <n v="1"/>
  </r>
  <r>
    <s v="2016-17"/>
    <s v="MARCH"/>
    <s v="RVJ"/>
    <s v="NORTH BRISTOL NHS TRUST"/>
    <s v="07Y"/>
    <x v="17"/>
    <s v="Incomplete Pathways"/>
    <x v="8"/>
    <x v="0"/>
    <n v="0"/>
    <n v="1"/>
  </r>
  <r>
    <s v="2016-17"/>
    <s v="MARCH"/>
    <s v="RVJ"/>
    <s v="NORTH BRISTOL NHS TRUST"/>
    <s v="07Y"/>
    <x v="17"/>
    <s v="Incomplete Pathways"/>
    <x v="2"/>
    <x v="0"/>
    <n v="0"/>
    <n v="1"/>
  </r>
  <r>
    <s v="2016-17"/>
    <s v="MARCH"/>
    <s v="RVJ"/>
    <s v="NORTH BRISTOL NHS TRUST"/>
    <s v="08A"/>
    <x v="18"/>
    <s v="Incomplete Pathways"/>
    <x v="9"/>
    <x v="0"/>
    <n v="0"/>
    <n v="1"/>
  </r>
  <r>
    <s v="2016-17"/>
    <s v="MARCH"/>
    <s v="RVJ"/>
    <s v="NORTH BRISTOL NHS TRUST"/>
    <s v="08A"/>
    <x v="18"/>
    <s v="Incomplete Pathways"/>
    <x v="2"/>
    <x v="0"/>
    <n v="0"/>
    <n v="1"/>
  </r>
  <r>
    <s v="2016-17"/>
    <s v="MARCH"/>
    <s v="RVJ"/>
    <s v="NORTH BRISTOL NHS TRUST"/>
    <s v="08C"/>
    <x v="19"/>
    <s v="Incomplete Pathways"/>
    <x v="0"/>
    <x v="3"/>
    <n v="0"/>
    <n v="2"/>
  </r>
  <r>
    <s v="2016-17"/>
    <s v="MARCH"/>
    <s v="RVJ"/>
    <s v="NORTH BRISTOL NHS TRUST"/>
    <s v="08C"/>
    <x v="19"/>
    <s v="Incomplete Pathways"/>
    <x v="4"/>
    <x v="0"/>
    <n v="0"/>
    <n v="1"/>
  </r>
  <r>
    <s v="2016-17"/>
    <s v="MARCH"/>
    <s v="RVJ"/>
    <s v="NORTH BRISTOL NHS TRUST"/>
    <s v="08C"/>
    <x v="19"/>
    <s v="Incomplete Pathways"/>
    <x v="2"/>
    <x v="4"/>
    <n v="0"/>
    <n v="4"/>
  </r>
  <r>
    <s v="2016-17"/>
    <s v="MARCH"/>
    <s v="RVJ"/>
    <s v="NORTH BRISTOL NHS TRUST"/>
    <s v="08C"/>
    <x v="19"/>
    <s v="Incomplete Pathways"/>
    <x v="3"/>
    <x v="0"/>
    <n v="0"/>
    <n v="1"/>
  </r>
  <r>
    <s v="2016-17"/>
    <s v="MARCH"/>
    <s v="RVJ"/>
    <s v="NORTH BRISTOL NHS TRUST"/>
    <s v="08D"/>
    <x v="20"/>
    <s v="Incomplete Pathways"/>
    <x v="2"/>
    <x v="3"/>
    <n v="0"/>
    <n v="2"/>
  </r>
  <r>
    <s v="2016-17"/>
    <s v="MARCH"/>
    <s v="RVJ"/>
    <s v="NORTH BRISTOL NHS TRUST"/>
    <s v="08D"/>
    <x v="20"/>
    <s v="Incomplete Pathways"/>
    <x v="3"/>
    <x v="3"/>
    <n v="0"/>
    <n v="2"/>
  </r>
  <r>
    <s v="2016-17"/>
    <s v="MARCH"/>
    <s v="RVJ"/>
    <s v="NORTH BRISTOL NHS TRUST"/>
    <s v="08F"/>
    <x v="21"/>
    <s v="Incomplete Pathways"/>
    <x v="0"/>
    <x v="0"/>
    <n v="0"/>
    <n v="1"/>
  </r>
  <r>
    <s v="2016-17"/>
    <s v="MARCH"/>
    <s v="RVJ"/>
    <s v="NORTH BRISTOL NHS TRUST"/>
    <s v="08F"/>
    <x v="21"/>
    <s v="Incomplete Pathways"/>
    <x v="2"/>
    <x v="0"/>
    <n v="0"/>
    <n v="1"/>
  </r>
  <r>
    <s v="2016-17"/>
    <s v="MARCH"/>
    <s v="RVJ"/>
    <s v="NORTH BRISTOL NHS TRUST"/>
    <s v="08G"/>
    <x v="22"/>
    <s v="Incomplete Pathways"/>
    <x v="0"/>
    <x v="3"/>
    <n v="1"/>
    <n v="3"/>
  </r>
  <r>
    <s v="2016-17"/>
    <s v="MARCH"/>
    <s v="RVJ"/>
    <s v="NORTH BRISTOL NHS TRUST"/>
    <s v="08G"/>
    <x v="22"/>
    <s v="Incomplete Pathways"/>
    <x v="2"/>
    <x v="3"/>
    <n v="1"/>
    <n v="3"/>
  </r>
  <r>
    <s v="2016-17"/>
    <s v="MARCH"/>
    <s v="RVJ"/>
    <s v="NORTH BRISTOL NHS TRUST"/>
    <s v="08H"/>
    <x v="23"/>
    <s v="Incomplete Pathways"/>
    <x v="4"/>
    <x v="1"/>
    <n v="1"/>
    <n v="1"/>
  </r>
  <r>
    <s v="2016-17"/>
    <s v="MARCH"/>
    <s v="RVJ"/>
    <s v="NORTH BRISTOL NHS TRUST"/>
    <s v="08H"/>
    <x v="23"/>
    <s v="Incomplete Pathways"/>
    <x v="2"/>
    <x v="1"/>
    <n v="1"/>
    <n v="1"/>
  </r>
  <r>
    <s v="2016-17"/>
    <s v="MARCH"/>
    <s v="RVJ"/>
    <s v="NORTH BRISTOL NHS TRUST"/>
    <s v="08J"/>
    <x v="24"/>
    <s v="Incomplete Pathways"/>
    <x v="0"/>
    <x v="1"/>
    <n v="1"/>
    <n v="1"/>
  </r>
  <r>
    <s v="2016-17"/>
    <s v="MARCH"/>
    <s v="RVJ"/>
    <s v="NORTH BRISTOL NHS TRUST"/>
    <s v="08J"/>
    <x v="24"/>
    <s v="Incomplete Pathways"/>
    <x v="2"/>
    <x v="1"/>
    <n v="1"/>
    <n v="1"/>
  </r>
  <r>
    <s v="2016-17"/>
    <s v="MARCH"/>
    <s v="RVJ"/>
    <s v="NORTH BRISTOL NHS TRUST"/>
    <s v="08K"/>
    <x v="25"/>
    <s v="Incomplete Pathways"/>
    <x v="0"/>
    <x v="0"/>
    <n v="0"/>
    <n v="1"/>
  </r>
  <r>
    <s v="2016-17"/>
    <s v="MARCH"/>
    <s v="RVJ"/>
    <s v="NORTH BRISTOL NHS TRUST"/>
    <s v="08K"/>
    <x v="25"/>
    <s v="Incomplete Pathways"/>
    <x v="2"/>
    <x v="2"/>
    <n v="0"/>
    <n v="3"/>
  </r>
  <r>
    <s v="2016-17"/>
    <s v="MARCH"/>
    <s v="RVJ"/>
    <s v="NORTH BRISTOL NHS TRUST"/>
    <s v="08K"/>
    <x v="25"/>
    <s v="Incomplete Pathways"/>
    <x v="3"/>
    <x v="3"/>
    <n v="0"/>
    <n v="2"/>
  </r>
  <r>
    <s v="2016-17"/>
    <s v="MARCH"/>
    <s v="RVJ"/>
    <s v="NORTH BRISTOL NHS TRUST"/>
    <s v="08L"/>
    <x v="26"/>
    <s v="Incomplete Pathways"/>
    <x v="2"/>
    <x v="0"/>
    <n v="0"/>
    <n v="1"/>
  </r>
  <r>
    <s v="2016-17"/>
    <s v="MARCH"/>
    <s v="RVJ"/>
    <s v="NORTH BRISTOL NHS TRUST"/>
    <s v="08L"/>
    <x v="26"/>
    <s v="Incomplete Pathways"/>
    <x v="3"/>
    <x v="0"/>
    <n v="0"/>
    <n v="1"/>
  </r>
  <r>
    <s v="2016-17"/>
    <s v="MARCH"/>
    <s v="RVJ"/>
    <s v="NORTH BRISTOL NHS TRUST"/>
    <s v="08N"/>
    <x v="27"/>
    <s v="Incomplete Pathways"/>
    <x v="8"/>
    <x v="0"/>
    <n v="0"/>
    <n v="1"/>
  </r>
  <r>
    <s v="2016-17"/>
    <s v="MARCH"/>
    <s v="RVJ"/>
    <s v="NORTH BRISTOL NHS TRUST"/>
    <s v="08N"/>
    <x v="27"/>
    <s v="Incomplete Pathways"/>
    <x v="1"/>
    <x v="0"/>
    <n v="0"/>
    <n v="1"/>
  </r>
  <r>
    <s v="2016-17"/>
    <s v="MARCH"/>
    <s v="RVJ"/>
    <s v="NORTH BRISTOL NHS TRUST"/>
    <s v="08N"/>
    <x v="27"/>
    <s v="Incomplete Pathways"/>
    <x v="2"/>
    <x v="9"/>
    <n v="0"/>
    <n v="5"/>
  </r>
  <r>
    <s v="2016-17"/>
    <s v="MARCH"/>
    <s v="RVJ"/>
    <s v="NORTH BRISTOL NHS TRUST"/>
    <s v="08N"/>
    <x v="27"/>
    <s v="Incomplete Pathways"/>
    <x v="3"/>
    <x v="2"/>
    <n v="0"/>
    <n v="3"/>
  </r>
  <r>
    <s v="2016-17"/>
    <s v="MARCH"/>
    <s v="RVJ"/>
    <s v="NORTH BRISTOL NHS TRUST"/>
    <s v="08P"/>
    <x v="28"/>
    <s v="Incomplete Pathways"/>
    <x v="4"/>
    <x v="0"/>
    <n v="0"/>
    <n v="1"/>
  </r>
  <r>
    <s v="2016-17"/>
    <s v="MARCH"/>
    <s v="RVJ"/>
    <s v="NORTH BRISTOL NHS TRUST"/>
    <s v="08P"/>
    <x v="28"/>
    <s v="Incomplete Pathways"/>
    <x v="2"/>
    <x v="0"/>
    <n v="0"/>
    <n v="1"/>
  </r>
  <r>
    <s v="2016-17"/>
    <s v="MARCH"/>
    <s v="RVJ"/>
    <s v="NORTH BRISTOL NHS TRUST"/>
    <s v="08Q"/>
    <x v="29"/>
    <s v="Incomplete Pathways"/>
    <x v="1"/>
    <x v="0"/>
    <n v="0"/>
    <n v="1"/>
  </r>
  <r>
    <s v="2016-17"/>
    <s v="MARCH"/>
    <s v="RVJ"/>
    <s v="NORTH BRISTOL NHS TRUST"/>
    <s v="08Q"/>
    <x v="29"/>
    <s v="Incomplete Pathways"/>
    <x v="2"/>
    <x v="0"/>
    <n v="0"/>
    <n v="1"/>
  </r>
  <r>
    <s v="2016-17"/>
    <s v="MARCH"/>
    <s v="RVJ"/>
    <s v="NORTH BRISTOL NHS TRUST"/>
    <s v="08Y"/>
    <x v="30"/>
    <s v="Incomplete Pathways"/>
    <x v="0"/>
    <x v="1"/>
    <n v="1"/>
    <n v="1"/>
  </r>
  <r>
    <s v="2016-17"/>
    <s v="MARCH"/>
    <s v="RVJ"/>
    <s v="NORTH BRISTOL NHS TRUST"/>
    <s v="08Y"/>
    <x v="30"/>
    <s v="Incomplete Pathways"/>
    <x v="2"/>
    <x v="1"/>
    <n v="1"/>
    <n v="1"/>
  </r>
  <r>
    <s v="2016-17"/>
    <s v="MARCH"/>
    <s v="RVJ"/>
    <s v="NORTH BRISTOL NHS TRUST"/>
    <s v="02R"/>
    <x v="31"/>
    <s v="Incomplete Pathways"/>
    <x v="0"/>
    <x v="1"/>
    <n v="1"/>
    <n v="1"/>
  </r>
  <r>
    <s v="2016-17"/>
    <s v="MARCH"/>
    <s v="RVJ"/>
    <s v="NORTH BRISTOL NHS TRUST"/>
    <s v="02R"/>
    <x v="31"/>
    <s v="Incomplete Pathways"/>
    <x v="2"/>
    <x v="0"/>
    <n v="1"/>
    <n v="2"/>
  </r>
  <r>
    <s v="2016-17"/>
    <s v="MARCH"/>
    <s v="RVJ"/>
    <s v="NORTH BRISTOL NHS TRUST"/>
    <s v="02R"/>
    <x v="31"/>
    <s v="Incomplete Pathways"/>
    <x v="3"/>
    <x v="0"/>
    <n v="0"/>
    <n v="1"/>
  </r>
  <r>
    <s v="2016-17"/>
    <s v="MARCH"/>
    <s v="RVJ"/>
    <s v="NORTH BRISTOL NHS TRUST"/>
    <s v="02T"/>
    <x v="32"/>
    <s v="Incomplete Pathways"/>
    <x v="0"/>
    <x v="1"/>
    <n v="1"/>
    <n v="1"/>
  </r>
  <r>
    <s v="2016-17"/>
    <s v="MARCH"/>
    <s v="RVJ"/>
    <s v="NORTH BRISTOL NHS TRUST"/>
    <s v="02T"/>
    <x v="32"/>
    <s v="Incomplete Pathways"/>
    <x v="2"/>
    <x v="1"/>
    <n v="1"/>
    <n v="1"/>
  </r>
  <r>
    <s v="2016-17"/>
    <s v="MARCH"/>
    <s v="RVJ"/>
    <s v="NORTH BRISTOL NHS TRUST"/>
    <s v="02W"/>
    <x v="33"/>
    <s v="Incomplete Pathways"/>
    <x v="4"/>
    <x v="0"/>
    <n v="0"/>
    <n v="1"/>
  </r>
  <r>
    <s v="2016-17"/>
    <s v="MARCH"/>
    <s v="RVJ"/>
    <s v="NORTH BRISTOL NHS TRUST"/>
    <s v="02W"/>
    <x v="33"/>
    <s v="Incomplete Pathways"/>
    <x v="2"/>
    <x v="0"/>
    <n v="0"/>
    <n v="1"/>
  </r>
  <r>
    <s v="2016-17"/>
    <s v="MARCH"/>
    <s v="RVJ"/>
    <s v="NORTH BRISTOL NHS TRUST"/>
    <s v="02X"/>
    <x v="34"/>
    <s v="Incomplete Pathways"/>
    <x v="0"/>
    <x v="1"/>
    <n v="1"/>
    <n v="1"/>
  </r>
  <r>
    <s v="2016-17"/>
    <s v="MARCH"/>
    <s v="RVJ"/>
    <s v="NORTH BRISTOL NHS TRUST"/>
    <s v="02X"/>
    <x v="34"/>
    <s v="Incomplete Pathways"/>
    <x v="2"/>
    <x v="1"/>
    <n v="1"/>
    <n v="1"/>
  </r>
  <r>
    <s v="2016-17"/>
    <s v="MARCH"/>
    <s v="RVJ"/>
    <s v="NORTH BRISTOL NHS TRUST"/>
    <s v="02Y"/>
    <x v="35"/>
    <s v="Incomplete Pathways"/>
    <x v="4"/>
    <x v="0"/>
    <n v="0"/>
    <n v="1"/>
  </r>
  <r>
    <s v="2016-17"/>
    <s v="MARCH"/>
    <s v="RVJ"/>
    <s v="NORTH BRISTOL NHS TRUST"/>
    <s v="02Y"/>
    <x v="35"/>
    <s v="Incomplete Pathways"/>
    <x v="2"/>
    <x v="0"/>
    <n v="0"/>
    <n v="1"/>
  </r>
  <r>
    <s v="2016-17"/>
    <s v="MARCH"/>
    <s v="RVJ"/>
    <s v="NORTH BRISTOL NHS TRUST"/>
    <s v="03A"/>
    <x v="36"/>
    <s v="Incomplete Pathways"/>
    <x v="0"/>
    <x v="0"/>
    <n v="5"/>
    <n v="6"/>
  </r>
  <r>
    <s v="2016-17"/>
    <s v="MARCH"/>
    <s v="RVJ"/>
    <s v="NORTH BRISTOL NHS TRUST"/>
    <s v="03A"/>
    <x v="36"/>
    <s v="Incomplete Pathways"/>
    <x v="2"/>
    <x v="0"/>
    <n v="5"/>
    <n v="6"/>
  </r>
  <r>
    <s v="2016-17"/>
    <s v="MARCH"/>
    <s v="RVJ"/>
    <s v="NORTH BRISTOL NHS TRUST"/>
    <s v="03C"/>
    <x v="37"/>
    <s v="Incomplete Pathways"/>
    <x v="2"/>
    <x v="0"/>
    <n v="0"/>
    <n v="1"/>
  </r>
  <r>
    <s v="2016-17"/>
    <s v="MARCH"/>
    <s v="RVJ"/>
    <s v="NORTH BRISTOL NHS TRUST"/>
    <s v="03C"/>
    <x v="37"/>
    <s v="Incomplete Pathways"/>
    <x v="3"/>
    <x v="0"/>
    <n v="0"/>
    <n v="1"/>
  </r>
  <r>
    <s v="2016-17"/>
    <s v="MARCH"/>
    <s v="RVJ"/>
    <s v="NORTH BRISTOL NHS TRUST"/>
    <s v="03L"/>
    <x v="38"/>
    <s v="Incomplete Pathways"/>
    <x v="6"/>
    <x v="0"/>
    <n v="0"/>
    <n v="1"/>
  </r>
  <r>
    <s v="2016-17"/>
    <s v="MARCH"/>
    <s v="RVJ"/>
    <s v="NORTH BRISTOL NHS TRUST"/>
    <s v="03L"/>
    <x v="38"/>
    <s v="Incomplete Pathways"/>
    <x v="0"/>
    <x v="1"/>
    <n v="1"/>
    <n v="1"/>
  </r>
  <r>
    <s v="2016-17"/>
    <s v="MARCH"/>
    <s v="RVJ"/>
    <s v="NORTH BRISTOL NHS TRUST"/>
    <s v="03L"/>
    <x v="38"/>
    <s v="Incomplete Pathways"/>
    <x v="2"/>
    <x v="0"/>
    <n v="1"/>
    <n v="2"/>
  </r>
  <r>
    <s v="2016-17"/>
    <s v="MARCH"/>
    <s v="RVJ"/>
    <s v="NORTH BRISTOL NHS TRUST"/>
    <s v="03N"/>
    <x v="39"/>
    <s v="Incomplete Pathways"/>
    <x v="0"/>
    <x v="1"/>
    <n v="1"/>
    <n v="1"/>
  </r>
  <r>
    <s v="2016-17"/>
    <s v="MARCH"/>
    <s v="RVJ"/>
    <s v="NORTH BRISTOL NHS TRUST"/>
    <s v="03N"/>
    <x v="39"/>
    <s v="Incomplete Pathways"/>
    <x v="9"/>
    <x v="0"/>
    <n v="0"/>
    <n v="1"/>
  </r>
  <r>
    <s v="2016-17"/>
    <s v="MARCH"/>
    <s v="RVJ"/>
    <s v="NORTH BRISTOL NHS TRUST"/>
    <s v="03N"/>
    <x v="39"/>
    <s v="Incomplete Pathways"/>
    <x v="11"/>
    <x v="0"/>
    <n v="0"/>
    <n v="1"/>
  </r>
  <r>
    <s v="2016-17"/>
    <s v="MARCH"/>
    <s v="RVJ"/>
    <s v="NORTH BRISTOL NHS TRUST"/>
    <s v="03N"/>
    <x v="39"/>
    <s v="Incomplete Pathways"/>
    <x v="2"/>
    <x v="3"/>
    <n v="1"/>
    <n v="3"/>
  </r>
  <r>
    <s v="2016-17"/>
    <s v="MARCH"/>
    <s v="RVJ"/>
    <s v="NORTH BRISTOL NHS TRUST"/>
    <s v="03Q"/>
    <x v="40"/>
    <s v="Incomplete Pathways"/>
    <x v="0"/>
    <x v="1"/>
    <n v="1"/>
    <n v="1"/>
  </r>
  <r>
    <s v="2016-17"/>
    <s v="MARCH"/>
    <s v="RVJ"/>
    <s v="NORTH BRISTOL NHS TRUST"/>
    <s v="03Q"/>
    <x v="40"/>
    <s v="Incomplete Pathways"/>
    <x v="5"/>
    <x v="1"/>
    <n v="1"/>
    <n v="1"/>
  </r>
  <r>
    <s v="2016-17"/>
    <s v="MARCH"/>
    <s v="RVJ"/>
    <s v="NORTH BRISTOL NHS TRUST"/>
    <s v="03Q"/>
    <x v="40"/>
    <s v="Incomplete Pathways"/>
    <x v="2"/>
    <x v="1"/>
    <n v="2"/>
    <n v="2"/>
  </r>
  <r>
    <s v="2016-17"/>
    <s v="MARCH"/>
    <s v="RVJ"/>
    <s v="NORTH BRISTOL NHS TRUST"/>
    <s v="00D"/>
    <x v="41"/>
    <s v="Incomplete Pathways"/>
    <x v="7"/>
    <x v="0"/>
    <n v="0"/>
    <n v="1"/>
  </r>
  <r>
    <s v="2016-17"/>
    <s v="MARCH"/>
    <s v="RVJ"/>
    <s v="NORTH BRISTOL NHS TRUST"/>
    <s v="00D"/>
    <x v="41"/>
    <s v="Incomplete Pathways"/>
    <x v="2"/>
    <x v="0"/>
    <n v="0"/>
    <n v="1"/>
  </r>
  <r>
    <s v="2016-17"/>
    <s v="MARCH"/>
    <s v="RVJ"/>
    <s v="NORTH BRISTOL NHS TRUST"/>
    <s v="00J"/>
    <x v="42"/>
    <s v="Incomplete Pathways"/>
    <x v="5"/>
    <x v="0"/>
    <n v="0"/>
    <n v="1"/>
  </r>
  <r>
    <s v="2016-17"/>
    <s v="MARCH"/>
    <s v="RVJ"/>
    <s v="NORTH BRISTOL NHS TRUST"/>
    <s v="00J"/>
    <x v="42"/>
    <s v="Incomplete Pathways"/>
    <x v="2"/>
    <x v="0"/>
    <n v="0"/>
    <n v="1"/>
  </r>
  <r>
    <s v="2016-17"/>
    <s v="MARCH"/>
    <s v="RVJ"/>
    <s v="NORTH BRISTOL NHS TRUST"/>
    <s v="00L"/>
    <x v="43"/>
    <s v="Incomplete Pathways"/>
    <x v="4"/>
    <x v="1"/>
    <n v="1"/>
    <n v="1"/>
  </r>
  <r>
    <s v="2016-17"/>
    <s v="MARCH"/>
    <s v="RVJ"/>
    <s v="NORTH BRISTOL NHS TRUST"/>
    <s v="00L"/>
    <x v="43"/>
    <s v="Incomplete Pathways"/>
    <x v="2"/>
    <x v="1"/>
    <n v="1"/>
    <n v="1"/>
  </r>
  <r>
    <s v="2016-17"/>
    <s v="MARCH"/>
    <s v="RVJ"/>
    <s v="NORTH BRISTOL NHS TRUST"/>
    <s v="01H"/>
    <x v="44"/>
    <s v="Incomplete Pathways"/>
    <x v="4"/>
    <x v="1"/>
    <n v="1"/>
    <n v="1"/>
  </r>
  <r>
    <s v="2016-17"/>
    <s v="MARCH"/>
    <s v="RVJ"/>
    <s v="NORTH BRISTOL NHS TRUST"/>
    <s v="01H"/>
    <x v="44"/>
    <s v="Incomplete Pathways"/>
    <x v="12"/>
    <x v="0"/>
    <n v="0"/>
    <n v="1"/>
  </r>
  <r>
    <s v="2016-17"/>
    <s v="MARCH"/>
    <s v="RVJ"/>
    <s v="NORTH BRISTOL NHS TRUST"/>
    <s v="01H"/>
    <x v="44"/>
    <s v="Incomplete Pathways"/>
    <x v="2"/>
    <x v="0"/>
    <n v="1"/>
    <n v="2"/>
  </r>
  <r>
    <s v="2016-17"/>
    <s v="MARCH"/>
    <s v="RVJ"/>
    <s v="NORTH BRISTOL NHS TRUST"/>
    <s v="13T"/>
    <x v="45"/>
    <s v="Incomplete Pathways"/>
    <x v="0"/>
    <x v="1"/>
    <n v="1"/>
    <n v="1"/>
  </r>
  <r>
    <s v="2016-17"/>
    <s v="MARCH"/>
    <s v="RVJ"/>
    <s v="NORTH BRISTOL NHS TRUST"/>
    <s v="13T"/>
    <x v="45"/>
    <s v="Incomplete Pathways"/>
    <x v="11"/>
    <x v="0"/>
    <n v="0"/>
    <n v="1"/>
  </r>
  <r>
    <s v="2016-17"/>
    <s v="MARCH"/>
    <s v="RVJ"/>
    <s v="NORTH BRISTOL NHS TRUST"/>
    <s v="13T"/>
    <x v="45"/>
    <s v="Incomplete Pathways"/>
    <x v="2"/>
    <x v="0"/>
    <n v="1"/>
    <n v="2"/>
  </r>
  <r>
    <s v="2016-17"/>
    <s v="MARCH"/>
    <s v="RVJ"/>
    <s v="NORTH BRISTOL NHS TRUST"/>
    <s v="01T"/>
    <x v="46"/>
    <s v="Incomplete Pathways"/>
    <x v="2"/>
    <x v="0"/>
    <n v="0"/>
    <n v="1"/>
  </r>
  <r>
    <s v="2016-17"/>
    <s v="MARCH"/>
    <s v="RVJ"/>
    <s v="NORTH BRISTOL NHS TRUST"/>
    <s v="01T"/>
    <x v="46"/>
    <s v="Incomplete Pathways"/>
    <x v="3"/>
    <x v="0"/>
    <n v="0"/>
    <n v="1"/>
  </r>
  <r>
    <s v="2016-17"/>
    <s v="MARCH"/>
    <s v="RVJ"/>
    <s v="NORTH BRISTOL NHS TRUST"/>
    <s v="01V"/>
    <x v="47"/>
    <s v="Incomplete Pathways"/>
    <x v="12"/>
    <x v="0"/>
    <n v="0"/>
    <n v="1"/>
  </r>
  <r>
    <s v="2016-17"/>
    <s v="MARCH"/>
    <s v="RVJ"/>
    <s v="NORTH BRISTOL NHS TRUST"/>
    <s v="01V"/>
    <x v="47"/>
    <s v="Incomplete Pathways"/>
    <x v="2"/>
    <x v="0"/>
    <n v="0"/>
    <n v="1"/>
  </r>
  <r>
    <s v="2016-17"/>
    <s v="MARCH"/>
    <s v="RVJ"/>
    <s v="NORTH BRISTOL NHS TRUST"/>
    <s v="02F"/>
    <x v="48"/>
    <s v="Incomplete Pathways"/>
    <x v="0"/>
    <x v="1"/>
    <n v="1"/>
    <n v="1"/>
  </r>
  <r>
    <s v="2016-17"/>
    <s v="MARCH"/>
    <s v="RVJ"/>
    <s v="NORTH BRISTOL NHS TRUST"/>
    <s v="02F"/>
    <x v="48"/>
    <s v="Incomplete Pathways"/>
    <x v="2"/>
    <x v="1"/>
    <n v="1"/>
    <n v="1"/>
  </r>
  <r>
    <s v="2016-17"/>
    <s v="MARCH"/>
    <s v="RVJ"/>
    <s v="NORTH BRISTOL NHS TRUST"/>
    <s v="12F"/>
    <x v="49"/>
    <s v="Incomplete Pathways"/>
    <x v="4"/>
    <x v="1"/>
    <n v="1"/>
    <n v="1"/>
  </r>
  <r>
    <s v="2016-17"/>
    <s v="MARCH"/>
    <s v="RVJ"/>
    <s v="NORTH BRISTOL NHS TRUST"/>
    <s v="12F"/>
    <x v="49"/>
    <s v="Incomplete Pathways"/>
    <x v="2"/>
    <x v="0"/>
    <n v="1"/>
    <n v="2"/>
  </r>
  <r>
    <s v="2016-17"/>
    <s v="MARCH"/>
    <s v="RVJ"/>
    <s v="NORTH BRISTOL NHS TRUST"/>
    <s v="12F"/>
    <x v="49"/>
    <s v="Incomplete Pathways"/>
    <x v="3"/>
    <x v="0"/>
    <n v="0"/>
    <n v="1"/>
  </r>
  <r>
    <s v="2016-17"/>
    <s v="MARCH"/>
    <s v="RVJ"/>
    <s v="NORTH BRISTOL NHS TRUST"/>
    <s v="99A"/>
    <x v="50"/>
    <s v="Incomplete Pathways"/>
    <x v="4"/>
    <x v="0"/>
    <n v="0"/>
    <n v="1"/>
  </r>
  <r>
    <s v="2016-17"/>
    <s v="MARCH"/>
    <s v="RVJ"/>
    <s v="NORTH BRISTOL NHS TRUST"/>
    <s v="99A"/>
    <x v="50"/>
    <s v="Incomplete Pathways"/>
    <x v="2"/>
    <x v="0"/>
    <n v="0"/>
    <n v="1"/>
  </r>
  <r>
    <s v="2016-17"/>
    <s v="MARCH"/>
    <s v="RVJ"/>
    <s v="NORTH BRISTOL NHS TRUST"/>
    <s v="03Y"/>
    <x v="51"/>
    <s v="Incomplete Pathways"/>
    <x v="0"/>
    <x v="0"/>
    <n v="0"/>
    <n v="1"/>
  </r>
  <r>
    <s v="2016-17"/>
    <s v="MARCH"/>
    <s v="RVJ"/>
    <s v="NORTH BRISTOL NHS TRUST"/>
    <s v="03Y"/>
    <x v="51"/>
    <s v="Incomplete Pathways"/>
    <x v="2"/>
    <x v="0"/>
    <n v="0"/>
    <n v="1"/>
  </r>
  <r>
    <s v="2016-17"/>
    <s v="MARCH"/>
    <s v="RVJ"/>
    <s v="NORTH BRISTOL NHS TRUST"/>
    <s v="04J"/>
    <x v="52"/>
    <s v="Incomplete Pathways"/>
    <x v="2"/>
    <x v="0"/>
    <n v="0"/>
    <n v="1"/>
  </r>
  <r>
    <s v="2016-17"/>
    <s v="MARCH"/>
    <s v="RVJ"/>
    <s v="NORTH BRISTOL NHS TRUST"/>
    <s v="04J"/>
    <x v="52"/>
    <s v="Incomplete Pathways"/>
    <x v="3"/>
    <x v="0"/>
    <n v="0"/>
    <n v="1"/>
  </r>
  <r>
    <s v="2016-17"/>
    <s v="MARCH"/>
    <s v="RVJ"/>
    <s v="NORTH BRISTOL NHS TRUST"/>
    <s v="04K"/>
    <x v="53"/>
    <s v="Incomplete Pathways"/>
    <x v="8"/>
    <x v="0"/>
    <n v="0"/>
    <n v="1"/>
  </r>
  <r>
    <s v="2016-17"/>
    <s v="MARCH"/>
    <s v="RVJ"/>
    <s v="NORTH BRISTOL NHS TRUST"/>
    <s v="04K"/>
    <x v="53"/>
    <s v="Incomplete Pathways"/>
    <x v="2"/>
    <x v="0"/>
    <n v="0"/>
    <n v="1"/>
  </r>
  <r>
    <s v="2016-17"/>
    <s v="MARCH"/>
    <s v="RVJ"/>
    <s v="NORTH BRISTOL NHS TRUST"/>
    <s v="04N"/>
    <x v="54"/>
    <s v="Incomplete Pathways"/>
    <x v="0"/>
    <x v="1"/>
    <n v="1"/>
    <n v="1"/>
  </r>
  <r>
    <s v="2016-17"/>
    <s v="MARCH"/>
    <s v="RVJ"/>
    <s v="NORTH BRISTOL NHS TRUST"/>
    <s v="04N"/>
    <x v="54"/>
    <s v="Incomplete Pathways"/>
    <x v="2"/>
    <x v="1"/>
    <n v="1"/>
    <n v="1"/>
  </r>
  <r>
    <s v="2016-17"/>
    <s v="MARCH"/>
    <s v="RVJ"/>
    <s v="NORTH BRISTOL NHS TRUST"/>
    <s v="04R"/>
    <x v="55"/>
    <s v="Incomplete Pathways"/>
    <x v="0"/>
    <x v="0"/>
    <n v="1"/>
    <n v="2"/>
  </r>
  <r>
    <s v="2016-17"/>
    <s v="MARCH"/>
    <s v="RVJ"/>
    <s v="NORTH BRISTOL NHS TRUST"/>
    <s v="04R"/>
    <x v="55"/>
    <s v="Incomplete Pathways"/>
    <x v="2"/>
    <x v="2"/>
    <n v="1"/>
    <n v="4"/>
  </r>
  <r>
    <s v="2016-17"/>
    <s v="MARCH"/>
    <s v="RVJ"/>
    <s v="NORTH BRISTOL NHS TRUST"/>
    <s v="04R"/>
    <x v="55"/>
    <s v="Incomplete Pathways"/>
    <x v="3"/>
    <x v="3"/>
    <n v="0"/>
    <n v="2"/>
  </r>
  <r>
    <s v="2016-17"/>
    <s v="MARCH"/>
    <s v="RVJ"/>
    <s v="NORTH BRISTOL NHS TRUST"/>
    <s v="04Y"/>
    <x v="56"/>
    <s v="Incomplete Pathways"/>
    <x v="6"/>
    <x v="0"/>
    <n v="0"/>
    <n v="1"/>
  </r>
  <r>
    <s v="2016-17"/>
    <s v="MARCH"/>
    <s v="RVJ"/>
    <s v="NORTH BRISTOL NHS TRUST"/>
    <s v="04Y"/>
    <x v="56"/>
    <s v="Incomplete Pathways"/>
    <x v="4"/>
    <x v="0"/>
    <n v="0"/>
    <n v="1"/>
  </r>
  <r>
    <s v="2016-17"/>
    <s v="MARCH"/>
    <s v="RVJ"/>
    <s v="NORTH BRISTOL NHS TRUST"/>
    <s v="04Y"/>
    <x v="56"/>
    <s v="Incomplete Pathways"/>
    <x v="2"/>
    <x v="2"/>
    <n v="0"/>
    <n v="3"/>
  </r>
  <r>
    <s v="2016-17"/>
    <s v="MARCH"/>
    <s v="RVJ"/>
    <s v="NORTH BRISTOL NHS TRUST"/>
    <s v="04Y"/>
    <x v="56"/>
    <s v="Incomplete Pathways"/>
    <x v="3"/>
    <x v="0"/>
    <n v="0"/>
    <n v="1"/>
  </r>
  <r>
    <s v="2016-17"/>
    <s v="MARCH"/>
    <s v="RVJ"/>
    <s v="NORTH BRISTOL NHS TRUST"/>
    <s v="05D"/>
    <x v="57"/>
    <s v="Incomplete Pathways"/>
    <x v="2"/>
    <x v="0"/>
    <n v="0"/>
    <n v="1"/>
  </r>
  <r>
    <s v="2016-17"/>
    <s v="MARCH"/>
    <s v="RVJ"/>
    <s v="NORTH BRISTOL NHS TRUST"/>
    <s v="05D"/>
    <x v="57"/>
    <s v="Incomplete Pathways"/>
    <x v="3"/>
    <x v="0"/>
    <n v="0"/>
    <n v="1"/>
  </r>
  <r>
    <s v="2016-17"/>
    <s v="MARCH"/>
    <s v="RVJ"/>
    <s v="NORTH BRISTOL NHS TRUST"/>
    <s v="05N"/>
    <x v="58"/>
    <s v="Incomplete Pathways"/>
    <x v="8"/>
    <x v="0"/>
    <n v="0"/>
    <n v="1"/>
  </r>
  <r>
    <s v="2016-17"/>
    <s v="MARCH"/>
    <s v="RVJ"/>
    <s v="NORTH BRISTOL NHS TRUST"/>
    <s v="05N"/>
    <x v="58"/>
    <s v="Incomplete Pathways"/>
    <x v="2"/>
    <x v="3"/>
    <n v="0"/>
    <n v="2"/>
  </r>
  <r>
    <s v="2016-17"/>
    <s v="MARCH"/>
    <s v="RVJ"/>
    <s v="NORTH BRISTOL NHS TRUST"/>
    <s v="05N"/>
    <x v="58"/>
    <s v="Incomplete Pathways"/>
    <x v="3"/>
    <x v="0"/>
    <n v="0"/>
    <n v="1"/>
  </r>
  <r>
    <s v="2016-17"/>
    <s v="MARCH"/>
    <s v="RVJ"/>
    <s v="NORTH BRISTOL NHS TRUST"/>
    <s v="05Q"/>
    <x v="59"/>
    <s v="Incomplete Pathways"/>
    <x v="4"/>
    <x v="1"/>
    <n v="1"/>
    <n v="1"/>
  </r>
  <r>
    <s v="2016-17"/>
    <s v="MARCH"/>
    <s v="RVJ"/>
    <s v="NORTH BRISTOL NHS TRUST"/>
    <s v="05Q"/>
    <x v="59"/>
    <s v="Incomplete Pathways"/>
    <x v="5"/>
    <x v="0"/>
    <n v="0"/>
    <n v="1"/>
  </r>
  <r>
    <s v="2016-17"/>
    <s v="MARCH"/>
    <s v="RVJ"/>
    <s v="NORTH BRISTOL NHS TRUST"/>
    <s v="05Q"/>
    <x v="59"/>
    <s v="Incomplete Pathways"/>
    <x v="2"/>
    <x v="0"/>
    <n v="1"/>
    <n v="2"/>
  </r>
  <r>
    <s v="2016-17"/>
    <s v="MARCH"/>
    <s v="RVJ"/>
    <s v="NORTH BRISTOL NHS TRUST"/>
    <s v="05V"/>
    <x v="60"/>
    <s v="Incomplete Pathways"/>
    <x v="2"/>
    <x v="0"/>
    <n v="0"/>
    <n v="1"/>
  </r>
  <r>
    <s v="2016-17"/>
    <s v="MARCH"/>
    <s v="RVJ"/>
    <s v="NORTH BRISTOL NHS TRUST"/>
    <s v="05V"/>
    <x v="60"/>
    <s v="Incomplete Pathways"/>
    <x v="3"/>
    <x v="0"/>
    <n v="0"/>
    <n v="1"/>
  </r>
  <r>
    <s v="2016-17"/>
    <s v="MARCH"/>
    <s v="RVJ"/>
    <s v="NORTH BRISTOL NHS TRUST"/>
    <s v="05W"/>
    <x v="61"/>
    <s v="Incomplete Pathways"/>
    <x v="0"/>
    <x v="0"/>
    <n v="1"/>
    <n v="2"/>
  </r>
  <r>
    <s v="2016-17"/>
    <s v="MARCH"/>
    <s v="RVJ"/>
    <s v="NORTH BRISTOL NHS TRUST"/>
    <s v="05W"/>
    <x v="61"/>
    <s v="Incomplete Pathways"/>
    <x v="5"/>
    <x v="1"/>
    <n v="1"/>
    <n v="1"/>
  </r>
  <r>
    <s v="2016-17"/>
    <s v="MARCH"/>
    <s v="RVJ"/>
    <s v="NORTH BRISTOL NHS TRUST"/>
    <s v="05W"/>
    <x v="61"/>
    <s v="Incomplete Pathways"/>
    <x v="2"/>
    <x v="0"/>
    <n v="2"/>
    <n v="3"/>
  </r>
  <r>
    <s v="2016-17"/>
    <s v="MARCH"/>
    <s v="RVJ"/>
    <s v="NORTH BRISTOL NHS TRUST"/>
    <s v="05X"/>
    <x v="62"/>
    <s v="Incomplete Pathways"/>
    <x v="4"/>
    <x v="0"/>
    <n v="0"/>
    <n v="1"/>
  </r>
  <r>
    <s v="2016-17"/>
    <s v="MARCH"/>
    <s v="RVJ"/>
    <s v="NORTH BRISTOL NHS TRUST"/>
    <s v="05X"/>
    <x v="62"/>
    <s v="Incomplete Pathways"/>
    <x v="2"/>
    <x v="0"/>
    <n v="0"/>
    <n v="1"/>
  </r>
  <r>
    <s v="2016-17"/>
    <s v="MARCH"/>
    <s v="RVJ"/>
    <s v="NORTH BRISTOL NHS TRUST"/>
    <s v="04X"/>
    <x v="63"/>
    <s v="Incomplete Pathways"/>
    <x v="0"/>
    <x v="1"/>
    <n v="1"/>
    <n v="1"/>
  </r>
  <r>
    <s v="2016-17"/>
    <s v="MARCH"/>
    <s v="RVJ"/>
    <s v="NORTH BRISTOL NHS TRUST"/>
    <s v="04X"/>
    <x v="63"/>
    <s v="Incomplete Pathways"/>
    <x v="2"/>
    <x v="1"/>
    <n v="1"/>
    <n v="1"/>
  </r>
  <r>
    <s v="2016-17"/>
    <s v="MARCH"/>
    <s v="RVJ"/>
    <s v="NORTH BRISTOL NHS TRUST"/>
    <s v="05A"/>
    <x v="64"/>
    <s v="Incomplete Pathways"/>
    <x v="0"/>
    <x v="0"/>
    <n v="0"/>
    <n v="1"/>
  </r>
  <r>
    <s v="2016-17"/>
    <s v="MARCH"/>
    <s v="RVJ"/>
    <s v="NORTH BRISTOL NHS TRUST"/>
    <s v="05A"/>
    <x v="64"/>
    <s v="Incomplete Pathways"/>
    <x v="8"/>
    <x v="1"/>
    <n v="1"/>
    <n v="1"/>
  </r>
  <r>
    <s v="2016-17"/>
    <s v="MARCH"/>
    <s v="RVJ"/>
    <s v="NORTH BRISTOL NHS TRUST"/>
    <s v="05A"/>
    <x v="64"/>
    <s v="Incomplete Pathways"/>
    <x v="2"/>
    <x v="0"/>
    <n v="1"/>
    <n v="2"/>
  </r>
  <r>
    <s v="2016-17"/>
    <s v="MARCH"/>
    <s v="RVJ"/>
    <s v="NORTH BRISTOL NHS TRUST"/>
    <s v="05C"/>
    <x v="65"/>
    <s v="Incomplete Pathways"/>
    <x v="2"/>
    <x v="0"/>
    <n v="0"/>
    <n v="1"/>
  </r>
  <r>
    <s v="2016-17"/>
    <s v="MARCH"/>
    <s v="RVJ"/>
    <s v="NORTH BRISTOL NHS TRUST"/>
    <s v="05C"/>
    <x v="65"/>
    <s v="Incomplete Pathways"/>
    <x v="3"/>
    <x v="0"/>
    <n v="0"/>
    <n v="1"/>
  </r>
  <r>
    <s v="2016-17"/>
    <s v="MARCH"/>
    <s v="RVJ"/>
    <s v="NORTH BRISTOL NHS TRUST"/>
    <s v="05F"/>
    <x v="66"/>
    <s v="Incomplete Pathways"/>
    <x v="7"/>
    <x v="0"/>
    <n v="0"/>
    <n v="1"/>
  </r>
  <r>
    <s v="2016-17"/>
    <s v="MARCH"/>
    <s v="RVJ"/>
    <s v="NORTH BRISTOL NHS TRUST"/>
    <s v="05F"/>
    <x v="66"/>
    <s v="Incomplete Pathways"/>
    <x v="6"/>
    <x v="10"/>
    <n v="0"/>
    <n v="7"/>
  </r>
  <r>
    <s v="2016-17"/>
    <s v="MARCH"/>
    <s v="RVJ"/>
    <s v="NORTH BRISTOL NHS TRUST"/>
    <s v="05F"/>
    <x v="66"/>
    <s v="Incomplete Pathways"/>
    <x v="0"/>
    <x v="11"/>
    <n v="3"/>
    <n v="9"/>
  </r>
  <r>
    <s v="2016-17"/>
    <s v="MARCH"/>
    <s v="RVJ"/>
    <s v="NORTH BRISTOL NHS TRUST"/>
    <s v="05F"/>
    <x v="66"/>
    <s v="Incomplete Pathways"/>
    <x v="4"/>
    <x v="9"/>
    <n v="1"/>
    <n v="6"/>
  </r>
  <r>
    <s v="2016-17"/>
    <s v="MARCH"/>
    <s v="RVJ"/>
    <s v="NORTH BRISTOL NHS TRUST"/>
    <s v="05F"/>
    <x v="66"/>
    <s v="Incomplete Pathways"/>
    <x v="8"/>
    <x v="9"/>
    <n v="1"/>
    <n v="6"/>
  </r>
  <r>
    <s v="2016-17"/>
    <s v="MARCH"/>
    <s v="RVJ"/>
    <s v="NORTH BRISTOL NHS TRUST"/>
    <s v="05F"/>
    <x v="66"/>
    <s v="Incomplete Pathways"/>
    <x v="12"/>
    <x v="0"/>
    <n v="1"/>
    <n v="2"/>
  </r>
  <r>
    <s v="2016-17"/>
    <s v="MARCH"/>
    <s v="RVJ"/>
    <s v="NORTH BRISTOL NHS TRUST"/>
    <s v="05F"/>
    <x v="66"/>
    <s v="Incomplete Pathways"/>
    <x v="13"/>
    <x v="0"/>
    <n v="0"/>
    <n v="1"/>
  </r>
  <r>
    <s v="2016-17"/>
    <s v="MARCH"/>
    <s v="RVJ"/>
    <s v="NORTH BRISTOL NHS TRUST"/>
    <s v="05F"/>
    <x v="66"/>
    <s v="Incomplete Pathways"/>
    <x v="5"/>
    <x v="2"/>
    <n v="0"/>
    <n v="3"/>
  </r>
  <r>
    <s v="2016-17"/>
    <s v="MARCH"/>
    <s v="RVJ"/>
    <s v="NORTH BRISTOL NHS TRUST"/>
    <s v="05F"/>
    <x v="66"/>
    <s v="Incomplete Pathways"/>
    <x v="2"/>
    <x v="12"/>
    <n v="7"/>
    <n v="42"/>
  </r>
  <r>
    <s v="2016-17"/>
    <s v="MARCH"/>
    <s v="RVJ"/>
    <s v="NORTH BRISTOL NHS TRUST"/>
    <s v="05F"/>
    <x v="66"/>
    <s v="Incomplete Pathways"/>
    <x v="3"/>
    <x v="11"/>
    <n v="1"/>
    <n v="7"/>
  </r>
  <r>
    <s v="2016-17"/>
    <s v="MARCH"/>
    <s v="RVJ"/>
    <s v="NORTH BRISTOL NHS TRUST"/>
    <s v="05H"/>
    <x v="67"/>
    <s v="Incomplete Pathways"/>
    <x v="6"/>
    <x v="0"/>
    <n v="0"/>
    <n v="1"/>
  </r>
  <r>
    <s v="2016-17"/>
    <s v="MARCH"/>
    <s v="RVJ"/>
    <s v="NORTH BRISTOL NHS TRUST"/>
    <s v="05H"/>
    <x v="67"/>
    <s v="Incomplete Pathways"/>
    <x v="0"/>
    <x v="3"/>
    <n v="0"/>
    <n v="2"/>
  </r>
  <r>
    <s v="2016-17"/>
    <s v="MARCH"/>
    <s v="RVJ"/>
    <s v="NORTH BRISTOL NHS TRUST"/>
    <s v="05H"/>
    <x v="67"/>
    <s v="Incomplete Pathways"/>
    <x v="2"/>
    <x v="2"/>
    <n v="0"/>
    <n v="3"/>
  </r>
  <r>
    <s v="2016-17"/>
    <s v="MARCH"/>
    <s v="RVJ"/>
    <s v="NORTH BRISTOL NHS TRUST"/>
    <s v="05J"/>
    <x v="68"/>
    <s v="Incomplete Pathways"/>
    <x v="6"/>
    <x v="0"/>
    <n v="0"/>
    <n v="1"/>
  </r>
  <r>
    <s v="2016-17"/>
    <s v="MARCH"/>
    <s v="RVJ"/>
    <s v="NORTH BRISTOL NHS TRUST"/>
    <s v="05J"/>
    <x v="68"/>
    <s v="Incomplete Pathways"/>
    <x v="2"/>
    <x v="0"/>
    <n v="0"/>
    <n v="1"/>
  </r>
  <r>
    <s v="2016-17"/>
    <s v="MARCH"/>
    <s v="RVJ"/>
    <s v="NORTH BRISTOL NHS TRUST"/>
    <s v="05L"/>
    <x v="69"/>
    <s v="Incomplete Pathways"/>
    <x v="0"/>
    <x v="0"/>
    <n v="0"/>
    <n v="1"/>
  </r>
  <r>
    <s v="2016-17"/>
    <s v="MARCH"/>
    <s v="RVJ"/>
    <s v="NORTH BRISTOL NHS TRUST"/>
    <s v="05L"/>
    <x v="69"/>
    <s v="Incomplete Pathways"/>
    <x v="9"/>
    <x v="0"/>
    <n v="0"/>
    <n v="1"/>
  </r>
  <r>
    <s v="2016-17"/>
    <s v="MARCH"/>
    <s v="RVJ"/>
    <s v="NORTH BRISTOL NHS TRUST"/>
    <s v="05L"/>
    <x v="69"/>
    <s v="Incomplete Pathways"/>
    <x v="5"/>
    <x v="3"/>
    <n v="0"/>
    <n v="2"/>
  </r>
  <r>
    <s v="2016-17"/>
    <s v="MARCH"/>
    <s v="RVJ"/>
    <s v="NORTH BRISTOL NHS TRUST"/>
    <s v="05L"/>
    <x v="69"/>
    <s v="Incomplete Pathways"/>
    <x v="2"/>
    <x v="4"/>
    <n v="0"/>
    <n v="4"/>
  </r>
  <r>
    <s v="2016-17"/>
    <s v="MARCH"/>
    <s v="RVJ"/>
    <s v="NORTH BRISTOL NHS TRUST"/>
    <s v="05P"/>
    <x v="70"/>
    <s v="Incomplete Pathways"/>
    <x v="0"/>
    <x v="0"/>
    <n v="0"/>
    <n v="1"/>
  </r>
  <r>
    <s v="2016-17"/>
    <s v="MARCH"/>
    <s v="RVJ"/>
    <s v="NORTH BRISTOL NHS TRUST"/>
    <s v="05P"/>
    <x v="70"/>
    <s v="Incomplete Pathways"/>
    <x v="2"/>
    <x v="0"/>
    <n v="0"/>
    <n v="1"/>
  </r>
  <r>
    <s v="2016-17"/>
    <s v="MARCH"/>
    <s v="RVJ"/>
    <s v="NORTH BRISTOL NHS TRUST"/>
    <s v="05R"/>
    <x v="71"/>
    <s v="Incomplete Pathways"/>
    <x v="6"/>
    <x v="0"/>
    <n v="0"/>
    <n v="1"/>
  </r>
  <r>
    <s v="2016-17"/>
    <s v="MARCH"/>
    <s v="RVJ"/>
    <s v="NORTH BRISTOL NHS TRUST"/>
    <s v="05R"/>
    <x v="71"/>
    <s v="Incomplete Pathways"/>
    <x v="0"/>
    <x v="0"/>
    <n v="0"/>
    <n v="1"/>
  </r>
  <r>
    <s v="2016-17"/>
    <s v="MARCH"/>
    <s v="RVJ"/>
    <s v="NORTH BRISTOL NHS TRUST"/>
    <s v="05R"/>
    <x v="71"/>
    <s v="Incomplete Pathways"/>
    <x v="5"/>
    <x v="1"/>
    <n v="1"/>
    <n v="1"/>
  </r>
  <r>
    <s v="2016-17"/>
    <s v="MARCH"/>
    <s v="RVJ"/>
    <s v="NORTH BRISTOL NHS TRUST"/>
    <s v="05R"/>
    <x v="71"/>
    <s v="Incomplete Pathways"/>
    <x v="2"/>
    <x v="3"/>
    <n v="1"/>
    <n v="3"/>
  </r>
  <r>
    <s v="2016-17"/>
    <s v="MARCH"/>
    <s v="RVJ"/>
    <s v="NORTH BRISTOL NHS TRUST"/>
    <s v="05T"/>
    <x v="72"/>
    <s v="Incomplete Pathways"/>
    <x v="7"/>
    <x v="0"/>
    <n v="0"/>
    <n v="1"/>
  </r>
  <r>
    <s v="2016-17"/>
    <s v="MARCH"/>
    <s v="RVJ"/>
    <s v="NORTH BRISTOL NHS TRUST"/>
    <s v="05T"/>
    <x v="72"/>
    <s v="Incomplete Pathways"/>
    <x v="6"/>
    <x v="2"/>
    <n v="0"/>
    <n v="3"/>
  </r>
  <r>
    <s v="2016-17"/>
    <s v="MARCH"/>
    <s v="RVJ"/>
    <s v="NORTH BRISTOL NHS TRUST"/>
    <s v="05T"/>
    <x v="72"/>
    <s v="Incomplete Pathways"/>
    <x v="0"/>
    <x v="3"/>
    <n v="2"/>
    <n v="4"/>
  </r>
  <r>
    <s v="2016-17"/>
    <s v="MARCH"/>
    <s v="RVJ"/>
    <s v="NORTH BRISTOL NHS TRUST"/>
    <s v="05T"/>
    <x v="72"/>
    <s v="Incomplete Pathways"/>
    <x v="4"/>
    <x v="11"/>
    <n v="5"/>
    <n v="11"/>
  </r>
  <r>
    <s v="2016-17"/>
    <s v="MARCH"/>
    <s v="RVJ"/>
    <s v="NORTH BRISTOL NHS TRUST"/>
    <s v="05T"/>
    <x v="72"/>
    <s v="Incomplete Pathways"/>
    <x v="8"/>
    <x v="9"/>
    <n v="0"/>
    <n v="5"/>
  </r>
  <r>
    <s v="2016-17"/>
    <s v="MARCH"/>
    <s v="RVJ"/>
    <s v="NORTH BRISTOL NHS TRUST"/>
    <s v="05T"/>
    <x v="72"/>
    <s v="Incomplete Pathways"/>
    <x v="11"/>
    <x v="0"/>
    <n v="0"/>
    <n v="1"/>
  </r>
  <r>
    <s v="2016-17"/>
    <s v="MARCH"/>
    <s v="RVJ"/>
    <s v="NORTH BRISTOL NHS TRUST"/>
    <s v="05T"/>
    <x v="72"/>
    <s v="Incomplete Pathways"/>
    <x v="12"/>
    <x v="0"/>
    <n v="0"/>
    <n v="1"/>
  </r>
  <r>
    <s v="2016-17"/>
    <s v="MARCH"/>
    <s v="RVJ"/>
    <s v="NORTH BRISTOL NHS TRUST"/>
    <s v="05T"/>
    <x v="72"/>
    <s v="Incomplete Pathways"/>
    <x v="5"/>
    <x v="4"/>
    <n v="0"/>
    <n v="4"/>
  </r>
  <r>
    <s v="2016-17"/>
    <s v="MARCH"/>
    <s v="RVJ"/>
    <s v="NORTH BRISTOL NHS TRUST"/>
    <s v="05T"/>
    <x v="72"/>
    <s v="Incomplete Pathways"/>
    <x v="2"/>
    <x v="13"/>
    <n v="7"/>
    <n v="33"/>
  </r>
  <r>
    <s v="2016-17"/>
    <s v="MARCH"/>
    <s v="RVJ"/>
    <s v="NORTH BRISTOL NHS TRUST"/>
    <s v="05T"/>
    <x v="72"/>
    <s v="Incomplete Pathways"/>
    <x v="3"/>
    <x v="2"/>
    <n v="0"/>
    <n v="3"/>
  </r>
  <r>
    <s v="2016-17"/>
    <s v="MARCH"/>
    <s v="RVJ"/>
    <s v="NORTH BRISTOL NHS TRUST"/>
    <s v="05Y"/>
    <x v="73"/>
    <s v="Incomplete Pathways"/>
    <x v="5"/>
    <x v="0"/>
    <n v="0"/>
    <n v="1"/>
  </r>
  <r>
    <s v="2016-17"/>
    <s v="MARCH"/>
    <s v="RVJ"/>
    <s v="NORTH BRISTOL NHS TRUST"/>
    <s v="05Y"/>
    <x v="73"/>
    <s v="Incomplete Pathways"/>
    <x v="2"/>
    <x v="0"/>
    <n v="0"/>
    <n v="1"/>
  </r>
  <r>
    <s v="2016-17"/>
    <s v="MARCH"/>
    <s v="RVJ"/>
    <s v="NORTH BRISTOL NHS TRUST"/>
    <s v="06A"/>
    <x v="74"/>
    <s v="Incomplete Pathways"/>
    <x v="5"/>
    <x v="0"/>
    <n v="0"/>
    <n v="1"/>
  </r>
  <r>
    <s v="2016-17"/>
    <s v="MARCH"/>
    <s v="RVJ"/>
    <s v="NORTH BRISTOL NHS TRUST"/>
    <s v="06A"/>
    <x v="74"/>
    <s v="Incomplete Pathways"/>
    <x v="2"/>
    <x v="0"/>
    <n v="0"/>
    <n v="1"/>
  </r>
  <r>
    <s v="2016-17"/>
    <s v="MARCH"/>
    <s v="RVJ"/>
    <s v="NORTH BRISTOL NHS TRUST"/>
    <s v="06D"/>
    <x v="75"/>
    <s v="Incomplete Pathways"/>
    <x v="0"/>
    <x v="0"/>
    <n v="1"/>
    <n v="2"/>
  </r>
  <r>
    <s v="2016-17"/>
    <s v="MARCH"/>
    <s v="RVJ"/>
    <s v="NORTH BRISTOL NHS TRUST"/>
    <s v="06D"/>
    <x v="75"/>
    <s v="Incomplete Pathways"/>
    <x v="4"/>
    <x v="0"/>
    <n v="0"/>
    <n v="1"/>
  </r>
  <r>
    <s v="2016-17"/>
    <s v="MARCH"/>
    <s v="RVJ"/>
    <s v="NORTH BRISTOL NHS TRUST"/>
    <s v="06D"/>
    <x v="75"/>
    <s v="Incomplete Pathways"/>
    <x v="5"/>
    <x v="0"/>
    <n v="0"/>
    <n v="1"/>
  </r>
  <r>
    <s v="2016-17"/>
    <s v="MARCH"/>
    <s v="RVJ"/>
    <s v="NORTH BRISTOL NHS TRUST"/>
    <s v="06D"/>
    <x v="75"/>
    <s v="Incomplete Pathways"/>
    <x v="2"/>
    <x v="4"/>
    <n v="2"/>
    <n v="6"/>
  </r>
  <r>
    <s v="2016-17"/>
    <s v="MARCH"/>
    <s v="RVJ"/>
    <s v="NORTH BRISTOL NHS TRUST"/>
    <s v="06D"/>
    <x v="75"/>
    <s v="Incomplete Pathways"/>
    <x v="3"/>
    <x v="0"/>
    <n v="1"/>
    <n v="2"/>
  </r>
  <r>
    <s v="2016-17"/>
    <s v="MARCH"/>
    <s v="RVJ"/>
    <s v="NORTH BRISTOL NHS TRUST"/>
    <s v="13P"/>
    <x v="76"/>
    <s v="Incomplete Pathways"/>
    <x v="7"/>
    <x v="1"/>
    <n v="1"/>
    <n v="1"/>
  </r>
  <r>
    <s v="2016-17"/>
    <s v="MARCH"/>
    <s v="RVJ"/>
    <s v="NORTH BRISTOL NHS TRUST"/>
    <s v="13P"/>
    <x v="76"/>
    <s v="Incomplete Pathways"/>
    <x v="6"/>
    <x v="0"/>
    <n v="0"/>
    <n v="1"/>
  </r>
  <r>
    <s v="2016-17"/>
    <s v="MARCH"/>
    <s v="RVJ"/>
    <s v="NORTH BRISTOL NHS TRUST"/>
    <s v="13P"/>
    <x v="76"/>
    <s v="Incomplete Pathways"/>
    <x v="0"/>
    <x v="1"/>
    <n v="2"/>
    <n v="2"/>
  </r>
  <r>
    <s v="2016-17"/>
    <s v="MARCH"/>
    <s v="RVJ"/>
    <s v="NORTH BRISTOL NHS TRUST"/>
    <s v="13P"/>
    <x v="76"/>
    <s v="Incomplete Pathways"/>
    <x v="2"/>
    <x v="3"/>
    <n v="3"/>
    <n v="5"/>
  </r>
  <r>
    <s v="2016-17"/>
    <s v="MARCH"/>
    <s v="RVJ"/>
    <s v="NORTH BRISTOL NHS TRUST"/>
    <s v="13P"/>
    <x v="76"/>
    <s v="Incomplete Pathways"/>
    <x v="3"/>
    <x v="0"/>
    <n v="0"/>
    <n v="1"/>
  </r>
  <r>
    <s v="2016-17"/>
    <s v="MARCH"/>
    <s v="RVJ"/>
    <s v="NORTH BRISTOL NHS TRUST"/>
    <s v="03V"/>
    <x v="77"/>
    <s v="Incomplete Pathways"/>
    <x v="4"/>
    <x v="0"/>
    <n v="0"/>
    <n v="1"/>
  </r>
  <r>
    <s v="2016-17"/>
    <s v="MARCH"/>
    <s v="RVJ"/>
    <s v="NORTH BRISTOL NHS TRUST"/>
    <s v="03V"/>
    <x v="77"/>
    <s v="Incomplete Pathways"/>
    <x v="2"/>
    <x v="0"/>
    <n v="0"/>
    <n v="1"/>
  </r>
  <r>
    <s v="2016-17"/>
    <s v="MARCH"/>
    <s v="RVJ"/>
    <s v="NORTH BRISTOL NHS TRUST"/>
    <s v="03W"/>
    <x v="78"/>
    <s v="Incomplete Pathways"/>
    <x v="2"/>
    <x v="0"/>
    <n v="0"/>
    <n v="1"/>
  </r>
  <r>
    <s v="2016-17"/>
    <s v="MARCH"/>
    <s v="RVJ"/>
    <s v="NORTH BRISTOL NHS TRUST"/>
    <s v="03W"/>
    <x v="78"/>
    <s v="Incomplete Pathways"/>
    <x v="3"/>
    <x v="0"/>
    <n v="0"/>
    <n v="1"/>
  </r>
  <r>
    <s v="2016-17"/>
    <s v="MARCH"/>
    <s v="RVJ"/>
    <s v="NORTH BRISTOL NHS TRUST"/>
    <s v="04C"/>
    <x v="79"/>
    <s v="Incomplete Pathways"/>
    <x v="7"/>
    <x v="0"/>
    <n v="0"/>
    <n v="1"/>
  </r>
  <r>
    <s v="2016-17"/>
    <s v="MARCH"/>
    <s v="RVJ"/>
    <s v="NORTH BRISTOL NHS TRUST"/>
    <s v="04C"/>
    <x v="79"/>
    <s v="Incomplete Pathways"/>
    <x v="0"/>
    <x v="0"/>
    <n v="0"/>
    <n v="1"/>
  </r>
  <r>
    <s v="2016-17"/>
    <s v="MARCH"/>
    <s v="RVJ"/>
    <s v="NORTH BRISTOL NHS TRUST"/>
    <s v="04C"/>
    <x v="79"/>
    <s v="Incomplete Pathways"/>
    <x v="2"/>
    <x v="3"/>
    <n v="0"/>
    <n v="2"/>
  </r>
  <r>
    <s v="2016-17"/>
    <s v="MARCH"/>
    <s v="RVJ"/>
    <s v="NORTH BRISTOL NHS TRUST"/>
    <s v="04F"/>
    <x v="80"/>
    <s v="Incomplete Pathways"/>
    <x v="2"/>
    <x v="1"/>
    <n v="1"/>
    <n v="1"/>
  </r>
  <r>
    <s v="2016-17"/>
    <s v="MARCH"/>
    <s v="RVJ"/>
    <s v="NORTH BRISTOL NHS TRUST"/>
    <s v="04F"/>
    <x v="80"/>
    <s v="Incomplete Pathways"/>
    <x v="3"/>
    <x v="1"/>
    <n v="1"/>
    <n v="1"/>
  </r>
  <r>
    <s v="2016-17"/>
    <s v="MARCH"/>
    <s v="RVJ"/>
    <s v="NORTH BRISTOL NHS TRUST"/>
    <s v="04V"/>
    <x v="81"/>
    <s v="Incomplete Pathways"/>
    <x v="6"/>
    <x v="0"/>
    <n v="0"/>
    <n v="1"/>
  </r>
  <r>
    <s v="2016-17"/>
    <s v="MARCH"/>
    <s v="RVJ"/>
    <s v="NORTH BRISTOL NHS TRUST"/>
    <s v="04V"/>
    <x v="81"/>
    <s v="Incomplete Pathways"/>
    <x v="4"/>
    <x v="0"/>
    <n v="0"/>
    <n v="1"/>
  </r>
  <r>
    <s v="2016-17"/>
    <s v="MARCH"/>
    <s v="RVJ"/>
    <s v="NORTH BRISTOL NHS TRUST"/>
    <s v="04V"/>
    <x v="81"/>
    <s v="Incomplete Pathways"/>
    <x v="5"/>
    <x v="0"/>
    <n v="0"/>
    <n v="1"/>
  </r>
  <r>
    <s v="2016-17"/>
    <s v="MARCH"/>
    <s v="RVJ"/>
    <s v="NORTH BRISTOL NHS TRUST"/>
    <s v="04V"/>
    <x v="81"/>
    <s v="Incomplete Pathways"/>
    <x v="2"/>
    <x v="2"/>
    <n v="0"/>
    <n v="3"/>
  </r>
  <r>
    <s v="2016-17"/>
    <s v="MARCH"/>
    <s v="RVJ"/>
    <s v="NORTH BRISTOL NHS TRUST"/>
    <s v="06K"/>
    <x v="82"/>
    <s v="Incomplete Pathways"/>
    <x v="0"/>
    <x v="0"/>
    <n v="2"/>
    <n v="3"/>
  </r>
  <r>
    <s v="2016-17"/>
    <s v="MARCH"/>
    <s v="RVJ"/>
    <s v="NORTH BRISTOL NHS TRUST"/>
    <s v="06K"/>
    <x v="82"/>
    <s v="Incomplete Pathways"/>
    <x v="9"/>
    <x v="0"/>
    <n v="0"/>
    <n v="1"/>
  </r>
  <r>
    <s v="2016-17"/>
    <s v="MARCH"/>
    <s v="RVJ"/>
    <s v="NORTH BRISTOL NHS TRUST"/>
    <s v="06K"/>
    <x v="82"/>
    <s v="Incomplete Pathways"/>
    <x v="2"/>
    <x v="3"/>
    <n v="2"/>
    <n v="4"/>
  </r>
  <r>
    <s v="2016-17"/>
    <s v="MARCH"/>
    <s v="RVJ"/>
    <s v="NORTH BRISTOL NHS TRUST"/>
    <s v="06N"/>
    <x v="83"/>
    <s v="Incomplete Pathways"/>
    <x v="6"/>
    <x v="0"/>
    <n v="0"/>
    <n v="1"/>
  </r>
  <r>
    <s v="2016-17"/>
    <s v="MARCH"/>
    <s v="RVJ"/>
    <s v="NORTH BRISTOL NHS TRUST"/>
    <s v="06N"/>
    <x v="83"/>
    <s v="Incomplete Pathways"/>
    <x v="0"/>
    <x v="0"/>
    <n v="2"/>
    <n v="3"/>
  </r>
  <r>
    <s v="2016-17"/>
    <s v="MARCH"/>
    <s v="RVJ"/>
    <s v="NORTH BRISTOL NHS TRUST"/>
    <s v="06N"/>
    <x v="83"/>
    <s v="Incomplete Pathways"/>
    <x v="8"/>
    <x v="0"/>
    <n v="0"/>
    <n v="1"/>
  </r>
  <r>
    <s v="2016-17"/>
    <s v="MARCH"/>
    <s v="RVJ"/>
    <s v="NORTH BRISTOL NHS TRUST"/>
    <s v="06N"/>
    <x v="83"/>
    <s v="Incomplete Pathways"/>
    <x v="1"/>
    <x v="0"/>
    <n v="0"/>
    <n v="1"/>
  </r>
  <r>
    <s v="2016-17"/>
    <s v="MARCH"/>
    <s v="RVJ"/>
    <s v="NORTH BRISTOL NHS TRUST"/>
    <s v="06N"/>
    <x v="83"/>
    <s v="Incomplete Pathways"/>
    <x v="2"/>
    <x v="4"/>
    <n v="2"/>
    <n v="6"/>
  </r>
  <r>
    <s v="2016-17"/>
    <s v="MARCH"/>
    <s v="RVJ"/>
    <s v="NORTH BRISTOL NHS TRUST"/>
    <s v="06H"/>
    <x v="84"/>
    <s v="Incomplete Pathways"/>
    <x v="6"/>
    <x v="3"/>
    <n v="0"/>
    <n v="2"/>
  </r>
  <r>
    <s v="2016-17"/>
    <s v="MARCH"/>
    <s v="RVJ"/>
    <s v="NORTH BRISTOL NHS TRUST"/>
    <s v="06H"/>
    <x v="84"/>
    <s v="Incomplete Pathways"/>
    <x v="4"/>
    <x v="0"/>
    <n v="0"/>
    <n v="1"/>
  </r>
  <r>
    <s v="2016-17"/>
    <s v="MARCH"/>
    <s v="RVJ"/>
    <s v="NORTH BRISTOL NHS TRUST"/>
    <s v="06H"/>
    <x v="84"/>
    <s v="Incomplete Pathways"/>
    <x v="2"/>
    <x v="2"/>
    <n v="0"/>
    <n v="3"/>
  </r>
  <r>
    <s v="2016-17"/>
    <s v="MARCH"/>
    <s v="RVJ"/>
    <s v="NORTH BRISTOL NHS TRUST"/>
    <s v="06Q"/>
    <x v="85"/>
    <s v="Incomplete Pathways"/>
    <x v="7"/>
    <x v="0"/>
    <n v="0"/>
    <n v="1"/>
  </r>
  <r>
    <s v="2016-17"/>
    <s v="MARCH"/>
    <s v="RVJ"/>
    <s v="NORTH BRISTOL NHS TRUST"/>
    <s v="06Q"/>
    <x v="85"/>
    <s v="Incomplete Pathways"/>
    <x v="4"/>
    <x v="0"/>
    <n v="0"/>
    <n v="1"/>
  </r>
  <r>
    <s v="2016-17"/>
    <s v="MARCH"/>
    <s v="RVJ"/>
    <s v="NORTH BRISTOL NHS TRUST"/>
    <s v="06Q"/>
    <x v="85"/>
    <s v="Incomplete Pathways"/>
    <x v="2"/>
    <x v="3"/>
    <n v="0"/>
    <n v="2"/>
  </r>
  <r>
    <s v="2016-17"/>
    <s v="MARCH"/>
    <s v="RVJ"/>
    <s v="NORTH BRISTOL NHS TRUST"/>
    <s v="06Y"/>
    <x v="86"/>
    <s v="Incomplete Pathways"/>
    <x v="2"/>
    <x v="0"/>
    <n v="0"/>
    <n v="1"/>
  </r>
  <r>
    <s v="2016-17"/>
    <s v="MARCH"/>
    <s v="RVJ"/>
    <s v="NORTH BRISTOL NHS TRUST"/>
    <s v="06Y"/>
    <x v="86"/>
    <s v="Incomplete Pathways"/>
    <x v="3"/>
    <x v="0"/>
    <n v="0"/>
    <n v="1"/>
  </r>
  <r>
    <s v="2016-17"/>
    <s v="MARCH"/>
    <s v="RVJ"/>
    <s v="NORTH BRISTOL NHS TRUST"/>
    <s v="07G"/>
    <x v="87"/>
    <s v="Incomplete Pathways"/>
    <x v="0"/>
    <x v="0"/>
    <n v="0"/>
    <n v="1"/>
  </r>
  <r>
    <s v="2016-17"/>
    <s v="MARCH"/>
    <s v="RVJ"/>
    <s v="NORTH BRISTOL NHS TRUST"/>
    <s v="07G"/>
    <x v="87"/>
    <s v="Incomplete Pathways"/>
    <x v="8"/>
    <x v="0"/>
    <n v="0"/>
    <n v="1"/>
  </r>
  <r>
    <s v="2016-17"/>
    <s v="MARCH"/>
    <s v="RVJ"/>
    <s v="NORTH BRISTOL NHS TRUST"/>
    <s v="07G"/>
    <x v="87"/>
    <s v="Incomplete Pathways"/>
    <x v="2"/>
    <x v="3"/>
    <n v="0"/>
    <n v="2"/>
  </r>
  <r>
    <s v="2016-17"/>
    <s v="MARCH"/>
    <s v="RVJ"/>
    <s v="NORTH BRISTOL NHS TRUST"/>
    <s v="99F"/>
    <x v="88"/>
    <s v="Incomplete Pathways"/>
    <x v="0"/>
    <x v="3"/>
    <n v="0"/>
    <n v="2"/>
  </r>
  <r>
    <s v="2016-17"/>
    <s v="MARCH"/>
    <s v="RVJ"/>
    <s v="NORTH BRISTOL NHS TRUST"/>
    <s v="99F"/>
    <x v="88"/>
    <s v="Incomplete Pathways"/>
    <x v="2"/>
    <x v="3"/>
    <n v="0"/>
    <n v="2"/>
  </r>
  <r>
    <s v="2016-17"/>
    <s v="MARCH"/>
    <s v="RVJ"/>
    <s v="NORTH BRISTOL NHS TRUST"/>
    <s v="99G"/>
    <x v="89"/>
    <s v="Incomplete Pathways"/>
    <x v="4"/>
    <x v="0"/>
    <n v="0"/>
    <n v="1"/>
  </r>
  <r>
    <s v="2016-17"/>
    <s v="MARCH"/>
    <s v="RVJ"/>
    <s v="NORTH BRISTOL NHS TRUST"/>
    <s v="99G"/>
    <x v="89"/>
    <s v="Incomplete Pathways"/>
    <x v="2"/>
    <x v="0"/>
    <n v="0"/>
    <n v="1"/>
  </r>
  <r>
    <s v="2016-17"/>
    <s v="MARCH"/>
    <s v="RVJ"/>
    <s v="NORTH BRISTOL NHS TRUST"/>
    <s v="11H"/>
    <x v="90"/>
    <s v="Incomplete Pathways"/>
    <x v="7"/>
    <x v="14"/>
    <n v="105"/>
    <n v="620"/>
  </r>
  <r>
    <s v="2016-17"/>
    <s v="MARCH"/>
    <s v="RVJ"/>
    <s v="NORTH BRISTOL NHS TRUST"/>
    <s v="11H"/>
    <x v="90"/>
    <s v="Incomplete Pathways"/>
    <x v="6"/>
    <x v="15"/>
    <n v="31"/>
    <n v="1164"/>
  </r>
  <r>
    <s v="2016-17"/>
    <s v="MARCH"/>
    <s v="RVJ"/>
    <s v="NORTH BRISTOL NHS TRUST"/>
    <s v="11H"/>
    <x v="90"/>
    <s v="Incomplete Pathways"/>
    <x v="0"/>
    <x v="16"/>
    <n v="759"/>
    <n v="2314"/>
  </r>
  <r>
    <s v="2016-17"/>
    <s v="MARCH"/>
    <s v="RVJ"/>
    <s v="NORTH BRISTOL NHS TRUST"/>
    <s v="11H"/>
    <x v="90"/>
    <s v="Incomplete Pathways"/>
    <x v="4"/>
    <x v="17"/>
    <n v="72"/>
    <n v="311"/>
  </r>
  <r>
    <s v="2016-17"/>
    <s v="MARCH"/>
    <s v="RVJ"/>
    <s v="NORTH BRISTOL NHS TRUST"/>
    <s v="11H"/>
    <x v="90"/>
    <s v="Incomplete Pathways"/>
    <x v="8"/>
    <x v="18"/>
    <n v="46"/>
    <n v="681"/>
  </r>
  <r>
    <s v="2016-17"/>
    <s v="MARCH"/>
    <s v="RVJ"/>
    <s v="NORTH BRISTOL NHS TRUST"/>
    <s v="11H"/>
    <x v="90"/>
    <s v="Incomplete Pathways"/>
    <x v="14"/>
    <x v="19"/>
    <n v="0"/>
    <n v="18"/>
  </r>
  <r>
    <s v="2016-17"/>
    <s v="MARCH"/>
    <s v="RVJ"/>
    <s v="NORTH BRISTOL NHS TRUST"/>
    <s v="11H"/>
    <x v="90"/>
    <s v="Incomplete Pathways"/>
    <x v="15"/>
    <x v="20"/>
    <n v="0"/>
    <n v="25"/>
  </r>
  <r>
    <s v="2016-17"/>
    <s v="MARCH"/>
    <s v="RVJ"/>
    <s v="NORTH BRISTOL NHS TRUST"/>
    <s v="11H"/>
    <x v="90"/>
    <s v="Incomplete Pathways"/>
    <x v="9"/>
    <x v="21"/>
    <n v="31"/>
    <n v="310"/>
  </r>
  <r>
    <s v="2016-17"/>
    <s v="MARCH"/>
    <s v="RVJ"/>
    <s v="NORTH BRISTOL NHS TRUST"/>
    <s v="11H"/>
    <x v="90"/>
    <s v="Incomplete Pathways"/>
    <x v="11"/>
    <x v="22"/>
    <n v="9"/>
    <n v="361"/>
  </r>
  <r>
    <s v="2016-17"/>
    <s v="MARCH"/>
    <s v="RVJ"/>
    <s v="NORTH BRISTOL NHS TRUST"/>
    <s v="11H"/>
    <x v="90"/>
    <s v="Incomplete Pathways"/>
    <x v="12"/>
    <x v="23"/>
    <n v="11"/>
    <n v="531"/>
  </r>
  <r>
    <s v="2016-17"/>
    <s v="MARCH"/>
    <s v="RVJ"/>
    <s v="NORTH BRISTOL NHS TRUST"/>
    <s v="11H"/>
    <x v="90"/>
    <s v="Incomplete Pathways"/>
    <x v="13"/>
    <x v="24"/>
    <n v="28"/>
    <n v="353"/>
  </r>
  <r>
    <s v="2016-17"/>
    <s v="MARCH"/>
    <s v="RVJ"/>
    <s v="NORTH BRISTOL NHS TRUST"/>
    <s v="11H"/>
    <x v="90"/>
    <s v="Incomplete Pathways"/>
    <x v="5"/>
    <x v="25"/>
    <n v="79"/>
    <n v="977"/>
  </r>
  <r>
    <s v="2016-17"/>
    <s v="MARCH"/>
    <s v="RVJ"/>
    <s v="NORTH BRISTOL NHS TRUST"/>
    <s v="11H"/>
    <x v="90"/>
    <s v="Incomplete Pathways"/>
    <x v="10"/>
    <x v="26"/>
    <n v="9"/>
    <n v="208"/>
  </r>
  <r>
    <s v="2016-17"/>
    <s v="MARCH"/>
    <s v="RVJ"/>
    <s v="NORTH BRISTOL NHS TRUST"/>
    <s v="11H"/>
    <x v="90"/>
    <s v="Incomplete Pathways"/>
    <x v="16"/>
    <x v="27"/>
    <n v="1"/>
    <n v="37"/>
  </r>
  <r>
    <s v="2016-17"/>
    <s v="MARCH"/>
    <s v="RVJ"/>
    <s v="NORTH BRISTOL NHS TRUST"/>
    <s v="11H"/>
    <x v="90"/>
    <s v="Incomplete Pathways"/>
    <x v="1"/>
    <x v="28"/>
    <n v="111"/>
    <n v="1309"/>
  </r>
  <r>
    <s v="2016-17"/>
    <s v="MARCH"/>
    <s v="RVJ"/>
    <s v="NORTH BRISTOL NHS TRUST"/>
    <s v="11H"/>
    <x v="90"/>
    <s v="Incomplete Pathways"/>
    <x v="2"/>
    <x v="29"/>
    <n v="1472"/>
    <n v="11577"/>
  </r>
  <r>
    <s v="2016-17"/>
    <s v="MARCH"/>
    <s v="RVJ"/>
    <s v="NORTH BRISTOL NHS TRUST"/>
    <s v="11H"/>
    <x v="90"/>
    <s v="Incomplete Pathways"/>
    <x v="3"/>
    <x v="30"/>
    <n v="180"/>
    <n v="2358"/>
  </r>
  <r>
    <s v="2016-17"/>
    <s v="MARCH"/>
    <s v="RVJ"/>
    <s v="NORTH BRISTOL NHS TRUST"/>
    <s v="11N"/>
    <x v="91"/>
    <s v="Incomplete Pathways"/>
    <x v="7"/>
    <x v="3"/>
    <n v="0"/>
    <n v="2"/>
  </r>
  <r>
    <s v="2016-17"/>
    <s v="MARCH"/>
    <s v="RVJ"/>
    <s v="NORTH BRISTOL NHS TRUST"/>
    <s v="11N"/>
    <x v="91"/>
    <s v="Incomplete Pathways"/>
    <x v="6"/>
    <x v="13"/>
    <n v="0"/>
    <n v="26"/>
  </r>
  <r>
    <s v="2016-17"/>
    <s v="MARCH"/>
    <s v="RVJ"/>
    <s v="NORTH BRISTOL NHS TRUST"/>
    <s v="11N"/>
    <x v="91"/>
    <s v="Incomplete Pathways"/>
    <x v="0"/>
    <x v="31"/>
    <n v="3"/>
    <n v="13"/>
  </r>
  <r>
    <s v="2016-17"/>
    <s v="MARCH"/>
    <s v="RVJ"/>
    <s v="NORTH BRISTOL NHS TRUST"/>
    <s v="11N"/>
    <x v="91"/>
    <s v="Incomplete Pathways"/>
    <x v="4"/>
    <x v="6"/>
    <n v="5"/>
    <n v="13"/>
  </r>
  <r>
    <s v="2016-17"/>
    <s v="MARCH"/>
    <s v="RVJ"/>
    <s v="NORTH BRISTOL NHS TRUST"/>
    <s v="11N"/>
    <x v="91"/>
    <s v="Incomplete Pathways"/>
    <x v="8"/>
    <x v="9"/>
    <n v="0"/>
    <n v="5"/>
  </r>
  <r>
    <s v="2016-17"/>
    <s v="MARCH"/>
    <s v="RVJ"/>
    <s v="NORTH BRISTOL NHS TRUST"/>
    <s v="11N"/>
    <x v="91"/>
    <s v="Incomplete Pathways"/>
    <x v="13"/>
    <x v="3"/>
    <n v="0"/>
    <n v="2"/>
  </r>
  <r>
    <s v="2016-17"/>
    <s v="MARCH"/>
    <s v="RVJ"/>
    <s v="NORTH BRISTOL NHS TRUST"/>
    <s v="11N"/>
    <x v="91"/>
    <s v="Incomplete Pathways"/>
    <x v="5"/>
    <x v="31"/>
    <n v="4"/>
    <n v="14"/>
  </r>
  <r>
    <s v="2016-17"/>
    <s v="MARCH"/>
    <s v="RVJ"/>
    <s v="NORTH BRISTOL NHS TRUST"/>
    <s v="11N"/>
    <x v="91"/>
    <s v="Incomplete Pathways"/>
    <x v="1"/>
    <x v="3"/>
    <n v="0"/>
    <n v="2"/>
  </r>
  <r>
    <s v="2016-17"/>
    <s v="MARCH"/>
    <s v="RVJ"/>
    <s v="NORTH BRISTOL NHS TRUST"/>
    <s v="11N"/>
    <x v="91"/>
    <s v="Incomplete Pathways"/>
    <x v="2"/>
    <x v="32"/>
    <n v="12"/>
    <n v="88"/>
  </r>
  <r>
    <s v="2016-17"/>
    <s v="MARCH"/>
    <s v="RVJ"/>
    <s v="NORTH BRISTOL NHS TRUST"/>
    <s v="11N"/>
    <x v="91"/>
    <s v="Incomplete Pathways"/>
    <x v="3"/>
    <x v="8"/>
    <n v="0"/>
    <n v="11"/>
  </r>
  <r>
    <s v="2016-17"/>
    <s v="MARCH"/>
    <s v="RVJ"/>
    <s v="NORTH BRISTOL NHS TRUST"/>
    <s v="11T"/>
    <x v="92"/>
    <s v="Incomplete Pathways"/>
    <x v="7"/>
    <x v="33"/>
    <n v="33"/>
    <n v="170"/>
  </r>
  <r>
    <s v="2016-17"/>
    <s v="MARCH"/>
    <s v="RVJ"/>
    <s v="NORTH BRISTOL NHS TRUST"/>
    <s v="11T"/>
    <x v="92"/>
    <s v="Incomplete Pathways"/>
    <x v="6"/>
    <x v="34"/>
    <n v="10"/>
    <n v="291"/>
  </r>
  <r>
    <s v="2016-17"/>
    <s v="MARCH"/>
    <s v="RVJ"/>
    <s v="NORTH BRISTOL NHS TRUST"/>
    <s v="11T"/>
    <x v="92"/>
    <s v="Incomplete Pathways"/>
    <x v="0"/>
    <x v="35"/>
    <n v="264"/>
    <n v="739"/>
  </r>
  <r>
    <s v="2016-17"/>
    <s v="MARCH"/>
    <s v="RVJ"/>
    <s v="NORTH BRISTOL NHS TRUST"/>
    <s v="11T"/>
    <x v="92"/>
    <s v="Incomplete Pathways"/>
    <x v="4"/>
    <x v="36"/>
    <n v="20"/>
    <n v="109"/>
  </r>
  <r>
    <s v="2016-17"/>
    <s v="MARCH"/>
    <s v="RVJ"/>
    <s v="NORTH BRISTOL NHS TRUST"/>
    <s v="11T"/>
    <x v="92"/>
    <s v="Incomplete Pathways"/>
    <x v="8"/>
    <x v="37"/>
    <n v="15"/>
    <n v="259"/>
  </r>
  <r>
    <s v="2016-17"/>
    <s v="MARCH"/>
    <s v="RVJ"/>
    <s v="NORTH BRISTOL NHS TRUST"/>
    <s v="11T"/>
    <x v="92"/>
    <s v="Incomplete Pathways"/>
    <x v="14"/>
    <x v="11"/>
    <n v="0"/>
    <n v="6"/>
  </r>
  <r>
    <s v="2016-17"/>
    <s v="MARCH"/>
    <s v="RVJ"/>
    <s v="NORTH BRISTOL NHS TRUST"/>
    <s v="11T"/>
    <x v="92"/>
    <s v="Incomplete Pathways"/>
    <x v="15"/>
    <x v="8"/>
    <n v="0"/>
    <n v="11"/>
  </r>
  <r>
    <s v="2016-17"/>
    <s v="MARCH"/>
    <s v="RVJ"/>
    <s v="NORTH BRISTOL NHS TRUST"/>
    <s v="11T"/>
    <x v="92"/>
    <s v="Incomplete Pathways"/>
    <x v="9"/>
    <x v="38"/>
    <n v="3"/>
    <n v="91"/>
  </r>
  <r>
    <s v="2016-17"/>
    <s v="MARCH"/>
    <s v="RVJ"/>
    <s v="NORTH BRISTOL NHS TRUST"/>
    <s v="11T"/>
    <x v="92"/>
    <s v="Incomplete Pathways"/>
    <x v="11"/>
    <x v="39"/>
    <n v="2"/>
    <n v="128"/>
  </r>
  <r>
    <s v="2016-17"/>
    <s v="MARCH"/>
    <s v="RVJ"/>
    <s v="NORTH BRISTOL NHS TRUST"/>
    <s v="11T"/>
    <x v="92"/>
    <s v="Incomplete Pathways"/>
    <x v="12"/>
    <x v="40"/>
    <n v="4"/>
    <n v="200"/>
  </r>
  <r>
    <s v="2016-17"/>
    <s v="MARCH"/>
    <s v="RVJ"/>
    <s v="NORTH BRISTOL NHS TRUST"/>
    <s v="11T"/>
    <x v="92"/>
    <s v="Incomplete Pathways"/>
    <x v="13"/>
    <x v="41"/>
    <n v="13"/>
    <n v="119"/>
  </r>
  <r>
    <s v="2016-17"/>
    <s v="MARCH"/>
    <s v="RVJ"/>
    <s v="NORTH BRISTOL NHS TRUST"/>
    <s v="11T"/>
    <x v="92"/>
    <s v="Incomplete Pathways"/>
    <x v="5"/>
    <x v="42"/>
    <n v="22"/>
    <n v="484"/>
  </r>
  <r>
    <s v="2016-17"/>
    <s v="MARCH"/>
    <s v="RVJ"/>
    <s v="NORTH BRISTOL NHS TRUST"/>
    <s v="11T"/>
    <x v="92"/>
    <s v="Incomplete Pathways"/>
    <x v="10"/>
    <x v="43"/>
    <n v="1"/>
    <n v="62"/>
  </r>
  <r>
    <s v="2016-17"/>
    <s v="MARCH"/>
    <s v="RVJ"/>
    <s v="NORTH BRISTOL NHS TRUST"/>
    <s v="11T"/>
    <x v="92"/>
    <s v="Incomplete Pathways"/>
    <x v="16"/>
    <x v="10"/>
    <n v="0"/>
    <n v="7"/>
  </r>
  <r>
    <s v="2016-17"/>
    <s v="MARCH"/>
    <s v="RVJ"/>
    <s v="NORTH BRISTOL NHS TRUST"/>
    <s v="11T"/>
    <x v="92"/>
    <s v="Incomplete Pathways"/>
    <x v="1"/>
    <x v="44"/>
    <n v="57"/>
    <n v="472"/>
  </r>
  <r>
    <s v="2016-17"/>
    <s v="MARCH"/>
    <s v="RVJ"/>
    <s v="NORTH BRISTOL NHS TRUST"/>
    <s v="11T"/>
    <x v="92"/>
    <s v="Incomplete Pathways"/>
    <x v="2"/>
    <x v="45"/>
    <n v="513"/>
    <n v="4028"/>
  </r>
  <r>
    <s v="2016-17"/>
    <s v="MARCH"/>
    <s v="RVJ"/>
    <s v="NORTH BRISTOL NHS TRUST"/>
    <s v="11T"/>
    <x v="92"/>
    <s v="Incomplete Pathways"/>
    <x v="3"/>
    <x v="46"/>
    <n v="69"/>
    <n v="880"/>
  </r>
  <r>
    <s v="2016-17"/>
    <s v="MARCH"/>
    <s v="RVJ"/>
    <s v="NORTH BRISTOL NHS TRUST"/>
    <s v="11X"/>
    <x v="93"/>
    <s v="Incomplete Pathways"/>
    <x v="7"/>
    <x v="47"/>
    <n v="1"/>
    <n v="18"/>
  </r>
  <r>
    <s v="2016-17"/>
    <s v="MARCH"/>
    <s v="RVJ"/>
    <s v="NORTH BRISTOL NHS TRUST"/>
    <s v="11X"/>
    <x v="93"/>
    <s v="Incomplete Pathways"/>
    <x v="6"/>
    <x v="48"/>
    <n v="3"/>
    <n v="73"/>
  </r>
  <r>
    <s v="2016-17"/>
    <s v="MARCH"/>
    <s v="RVJ"/>
    <s v="NORTH BRISTOL NHS TRUST"/>
    <s v="11X"/>
    <x v="93"/>
    <s v="Incomplete Pathways"/>
    <x v="0"/>
    <x v="36"/>
    <n v="39"/>
    <n v="128"/>
  </r>
  <r>
    <s v="2016-17"/>
    <s v="MARCH"/>
    <s v="RVJ"/>
    <s v="NORTH BRISTOL NHS TRUST"/>
    <s v="11X"/>
    <x v="93"/>
    <s v="Incomplete Pathways"/>
    <x v="4"/>
    <x v="49"/>
    <n v="30"/>
    <n v="115"/>
  </r>
  <r>
    <s v="2016-17"/>
    <s v="MARCH"/>
    <s v="RVJ"/>
    <s v="NORTH BRISTOL NHS TRUST"/>
    <s v="11X"/>
    <x v="93"/>
    <s v="Incomplete Pathways"/>
    <x v="8"/>
    <x v="50"/>
    <n v="14"/>
    <n v="184"/>
  </r>
  <r>
    <s v="2016-17"/>
    <s v="MARCH"/>
    <s v="RVJ"/>
    <s v="NORTH BRISTOL NHS TRUST"/>
    <s v="11X"/>
    <x v="93"/>
    <s v="Incomplete Pathways"/>
    <x v="9"/>
    <x v="4"/>
    <n v="0"/>
    <n v="4"/>
  </r>
  <r>
    <s v="2016-17"/>
    <s v="MARCH"/>
    <s v="RVJ"/>
    <s v="NORTH BRISTOL NHS TRUST"/>
    <s v="11X"/>
    <x v="93"/>
    <s v="Incomplete Pathways"/>
    <x v="11"/>
    <x v="4"/>
    <n v="1"/>
    <n v="5"/>
  </r>
  <r>
    <s v="2016-17"/>
    <s v="MARCH"/>
    <s v="RVJ"/>
    <s v="NORTH BRISTOL NHS TRUST"/>
    <s v="11X"/>
    <x v="93"/>
    <s v="Incomplete Pathways"/>
    <x v="12"/>
    <x v="51"/>
    <n v="0"/>
    <n v="22"/>
  </r>
  <r>
    <s v="2016-17"/>
    <s v="MARCH"/>
    <s v="RVJ"/>
    <s v="NORTH BRISTOL NHS TRUST"/>
    <s v="11X"/>
    <x v="93"/>
    <s v="Incomplete Pathways"/>
    <x v="13"/>
    <x v="52"/>
    <n v="2"/>
    <n v="16"/>
  </r>
  <r>
    <s v="2016-17"/>
    <s v="MARCH"/>
    <s v="RVJ"/>
    <s v="NORTH BRISTOL NHS TRUST"/>
    <s v="11X"/>
    <x v="93"/>
    <s v="Incomplete Pathways"/>
    <x v="5"/>
    <x v="53"/>
    <n v="12"/>
    <n v="86"/>
  </r>
  <r>
    <s v="2016-17"/>
    <s v="MARCH"/>
    <s v="RVJ"/>
    <s v="NORTH BRISTOL NHS TRUST"/>
    <s v="11X"/>
    <x v="93"/>
    <s v="Incomplete Pathways"/>
    <x v="10"/>
    <x v="6"/>
    <n v="0"/>
    <n v="8"/>
  </r>
  <r>
    <s v="2016-17"/>
    <s v="MARCH"/>
    <s v="RVJ"/>
    <s v="NORTH BRISTOL NHS TRUST"/>
    <s v="11X"/>
    <x v="93"/>
    <s v="Incomplete Pathways"/>
    <x v="16"/>
    <x v="0"/>
    <n v="0"/>
    <n v="1"/>
  </r>
  <r>
    <s v="2016-17"/>
    <s v="MARCH"/>
    <s v="RVJ"/>
    <s v="NORTH BRISTOL NHS TRUST"/>
    <s v="11X"/>
    <x v="93"/>
    <s v="Incomplete Pathways"/>
    <x v="1"/>
    <x v="54"/>
    <n v="4"/>
    <n v="38"/>
  </r>
  <r>
    <s v="2016-17"/>
    <s v="MARCH"/>
    <s v="RVJ"/>
    <s v="NORTH BRISTOL NHS TRUST"/>
    <s v="11X"/>
    <x v="93"/>
    <s v="Incomplete Pathways"/>
    <x v="2"/>
    <x v="55"/>
    <n v="137"/>
    <n v="961"/>
  </r>
  <r>
    <s v="2016-17"/>
    <s v="MARCH"/>
    <s v="RVJ"/>
    <s v="NORTH BRISTOL NHS TRUST"/>
    <s v="11X"/>
    <x v="93"/>
    <s v="Incomplete Pathways"/>
    <x v="3"/>
    <x v="56"/>
    <n v="31"/>
    <n v="263"/>
  </r>
  <r>
    <s v="2016-17"/>
    <s v="MARCH"/>
    <s v="RVJ"/>
    <s v="NORTH BRISTOL NHS TRUST"/>
    <s v="12A"/>
    <x v="94"/>
    <s v="Incomplete Pathways"/>
    <x v="7"/>
    <x v="57"/>
    <n v="78"/>
    <n v="566"/>
  </r>
  <r>
    <s v="2016-17"/>
    <s v="MARCH"/>
    <s v="RVJ"/>
    <s v="NORTH BRISTOL NHS TRUST"/>
    <s v="12A"/>
    <x v="94"/>
    <s v="Incomplete Pathways"/>
    <x v="6"/>
    <x v="58"/>
    <n v="22"/>
    <n v="671"/>
  </r>
  <r>
    <s v="2016-17"/>
    <s v="MARCH"/>
    <s v="RVJ"/>
    <s v="NORTH BRISTOL NHS TRUST"/>
    <s v="12A"/>
    <x v="94"/>
    <s v="Incomplete Pathways"/>
    <x v="0"/>
    <x v="59"/>
    <n v="456"/>
    <n v="1569"/>
  </r>
  <r>
    <s v="2016-17"/>
    <s v="MARCH"/>
    <s v="RVJ"/>
    <s v="NORTH BRISTOL NHS TRUST"/>
    <s v="12A"/>
    <x v="94"/>
    <s v="Incomplete Pathways"/>
    <x v="4"/>
    <x v="60"/>
    <n v="28"/>
    <n v="129"/>
  </r>
  <r>
    <s v="2016-17"/>
    <s v="MARCH"/>
    <s v="RVJ"/>
    <s v="NORTH BRISTOL NHS TRUST"/>
    <s v="12A"/>
    <x v="94"/>
    <s v="Incomplete Pathways"/>
    <x v="8"/>
    <x v="61"/>
    <n v="43"/>
    <n v="734"/>
  </r>
  <r>
    <s v="2016-17"/>
    <s v="MARCH"/>
    <s v="RVJ"/>
    <s v="NORTH BRISTOL NHS TRUST"/>
    <s v="12A"/>
    <x v="94"/>
    <s v="Incomplete Pathways"/>
    <x v="14"/>
    <x v="62"/>
    <n v="0"/>
    <n v="13"/>
  </r>
  <r>
    <s v="2016-17"/>
    <s v="MARCH"/>
    <s v="RVJ"/>
    <s v="NORTH BRISTOL NHS TRUST"/>
    <s v="12A"/>
    <x v="94"/>
    <s v="Incomplete Pathways"/>
    <x v="15"/>
    <x v="63"/>
    <n v="0"/>
    <n v="51"/>
  </r>
  <r>
    <s v="2016-17"/>
    <s v="MARCH"/>
    <s v="RVJ"/>
    <s v="NORTH BRISTOL NHS TRUST"/>
    <s v="12A"/>
    <x v="94"/>
    <s v="Incomplete Pathways"/>
    <x v="9"/>
    <x v="64"/>
    <n v="36"/>
    <n v="355"/>
  </r>
  <r>
    <s v="2016-17"/>
    <s v="MARCH"/>
    <s v="RVJ"/>
    <s v="NORTH BRISTOL NHS TRUST"/>
    <s v="12A"/>
    <x v="94"/>
    <s v="Incomplete Pathways"/>
    <x v="11"/>
    <x v="65"/>
    <n v="18"/>
    <n v="572"/>
  </r>
  <r>
    <s v="2016-17"/>
    <s v="MARCH"/>
    <s v="RVJ"/>
    <s v="NORTH BRISTOL NHS TRUST"/>
    <s v="12A"/>
    <x v="94"/>
    <s v="Incomplete Pathways"/>
    <x v="12"/>
    <x v="66"/>
    <n v="16"/>
    <n v="607"/>
  </r>
  <r>
    <s v="2016-17"/>
    <s v="MARCH"/>
    <s v="RVJ"/>
    <s v="NORTH BRISTOL NHS TRUST"/>
    <s v="12A"/>
    <x v="94"/>
    <s v="Incomplete Pathways"/>
    <x v="13"/>
    <x v="67"/>
    <n v="51"/>
    <n v="483"/>
  </r>
  <r>
    <s v="2016-17"/>
    <s v="MARCH"/>
    <s v="RVJ"/>
    <s v="NORTH BRISTOL NHS TRUST"/>
    <s v="12A"/>
    <x v="94"/>
    <s v="Incomplete Pathways"/>
    <x v="5"/>
    <x v="68"/>
    <n v="36"/>
    <n v="542"/>
  </r>
  <r>
    <s v="2016-17"/>
    <s v="MARCH"/>
    <s v="RVJ"/>
    <s v="NORTH BRISTOL NHS TRUST"/>
    <s v="12A"/>
    <x v="94"/>
    <s v="Incomplete Pathways"/>
    <x v="10"/>
    <x v="69"/>
    <n v="8"/>
    <n v="261"/>
  </r>
  <r>
    <s v="2016-17"/>
    <s v="MARCH"/>
    <s v="RVJ"/>
    <s v="NORTH BRISTOL NHS TRUST"/>
    <s v="12A"/>
    <x v="94"/>
    <s v="Incomplete Pathways"/>
    <x v="16"/>
    <x v="70"/>
    <n v="0"/>
    <n v="82"/>
  </r>
  <r>
    <s v="2016-17"/>
    <s v="MARCH"/>
    <s v="RVJ"/>
    <s v="NORTH BRISTOL NHS TRUST"/>
    <s v="12A"/>
    <x v="94"/>
    <s v="Incomplete Pathways"/>
    <x v="1"/>
    <x v="71"/>
    <n v="115"/>
    <n v="1163"/>
  </r>
  <r>
    <s v="2016-17"/>
    <s v="MARCH"/>
    <s v="RVJ"/>
    <s v="NORTH BRISTOL NHS TRUST"/>
    <s v="12A"/>
    <x v="94"/>
    <s v="Incomplete Pathways"/>
    <x v="2"/>
    <x v="72"/>
    <n v="1028"/>
    <n v="9498"/>
  </r>
  <r>
    <s v="2016-17"/>
    <s v="MARCH"/>
    <s v="RVJ"/>
    <s v="NORTH BRISTOL NHS TRUST"/>
    <s v="12A"/>
    <x v="94"/>
    <s v="Incomplete Pathways"/>
    <x v="3"/>
    <x v="73"/>
    <n v="121"/>
    <n v="1700"/>
  </r>
  <r>
    <s v="2016-17"/>
    <s v="MARCH"/>
    <s v="RVJ"/>
    <s v="NORTH BRISTOL NHS TRUST"/>
    <s v="99P"/>
    <x v="95"/>
    <s v="Incomplete Pathways"/>
    <x v="7"/>
    <x v="0"/>
    <n v="0"/>
    <n v="1"/>
  </r>
  <r>
    <s v="2016-17"/>
    <s v="MARCH"/>
    <s v="RVJ"/>
    <s v="NORTH BRISTOL NHS TRUST"/>
    <s v="99P"/>
    <x v="95"/>
    <s v="Incomplete Pathways"/>
    <x v="6"/>
    <x v="13"/>
    <n v="1"/>
    <n v="27"/>
  </r>
  <r>
    <s v="2016-17"/>
    <s v="MARCH"/>
    <s v="RVJ"/>
    <s v="NORTH BRISTOL NHS TRUST"/>
    <s v="99P"/>
    <x v="95"/>
    <s v="Incomplete Pathways"/>
    <x v="0"/>
    <x v="62"/>
    <n v="4"/>
    <n v="17"/>
  </r>
  <r>
    <s v="2016-17"/>
    <s v="MARCH"/>
    <s v="RVJ"/>
    <s v="NORTH BRISTOL NHS TRUST"/>
    <s v="99P"/>
    <x v="95"/>
    <s v="Incomplete Pathways"/>
    <x v="4"/>
    <x v="74"/>
    <n v="9"/>
    <n v="28"/>
  </r>
  <r>
    <s v="2016-17"/>
    <s v="MARCH"/>
    <s v="RVJ"/>
    <s v="NORTH BRISTOL NHS TRUST"/>
    <s v="99P"/>
    <x v="95"/>
    <s v="Incomplete Pathways"/>
    <x v="8"/>
    <x v="6"/>
    <n v="2"/>
    <n v="10"/>
  </r>
  <r>
    <s v="2016-17"/>
    <s v="MARCH"/>
    <s v="RVJ"/>
    <s v="NORTH BRISTOL NHS TRUST"/>
    <s v="99P"/>
    <x v="95"/>
    <s v="Incomplete Pathways"/>
    <x v="9"/>
    <x v="0"/>
    <n v="0"/>
    <n v="1"/>
  </r>
  <r>
    <s v="2016-17"/>
    <s v="MARCH"/>
    <s v="RVJ"/>
    <s v="NORTH BRISTOL NHS TRUST"/>
    <s v="99P"/>
    <x v="95"/>
    <s v="Incomplete Pathways"/>
    <x v="11"/>
    <x v="0"/>
    <n v="0"/>
    <n v="1"/>
  </r>
  <r>
    <s v="2016-17"/>
    <s v="MARCH"/>
    <s v="RVJ"/>
    <s v="NORTH BRISTOL NHS TRUST"/>
    <s v="99P"/>
    <x v="95"/>
    <s v="Incomplete Pathways"/>
    <x v="5"/>
    <x v="75"/>
    <n v="5"/>
    <n v="34"/>
  </r>
  <r>
    <s v="2016-17"/>
    <s v="MARCH"/>
    <s v="RVJ"/>
    <s v="NORTH BRISTOL NHS TRUST"/>
    <s v="99P"/>
    <x v="95"/>
    <s v="Incomplete Pathways"/>
    <x v="1"/>
    <x v="10"/>
    <n v="0"/>
    <n v="7"/>
  </r>
  <r>
    <s v="2016-17"/>
    <s v="MARCH"/>
    <s v="RVJ"/>
    <s v="NORTH BRISTOL NHS TRUST"/>
    <s v="99P"/>
    <x v="95"/>
    <s v="Incomplete Pathways"/>
    <x v="2"/>
    <x v="76"/>
    <n v="23"/>
    <n v="145"/>
  </r>
  <r>
    <s v="2016-17"/>
    <s v="MARCH"/>
    <s v="RVJ"/>
    <s v="NORTH BRISTOL NHS TRUST"/>
    <s v="99P"/>
    <x v="95"/>
    <s v="Incomplete Pathways"/>
    <x v="3"/>
    <x v="47"/>
    <n v="2"/>
    <n v="19"/>
  </r>
  <r>
    <s v="2016-17"/>
    <s v="MARCH"/>
    <s v="RVJ"/>
    <s v="NORTH BRISTOL NHS TRUST"/>
    <s v="99Q"/>
    <x v="96"/>
    <s v="Incomplete Pathways"/>
    <x v="7"/>
    <x v="0"/>
    <n v="0"/>
    <n v="1"/>
  </r>
  <r>
    <s v="2016-17"/>
    <s v="MARCH"/>
    <s v="RVJ"/>
    <s v="NORTH BRISTOL NHS TRUST"/>
    <s v="99Q"/>
    <x v="96"/>
    <s v="Incomplete Pathways"/>
    <x v="6"/>
    <x v="6"/>
    <n v="1"/>
    <n v="9"/>
  </r>
  <r>
    <s v="2016-17"/>
    <s v="MARCH"/>
    <s v="RVJ"/>
    <s v="NORTH BRISTOL NHS TRUST"/>
    <s v="99Q"/>
    <x v="96"/>
    <s v="Incomplete Pathways"/>
    <x v="0"/>
    <x v="1"/>
    <n v="1"/>
    <n v="1"/>
  </r>
  <r>
    <s v="2016-17"/>
    <s v="MARCH"/>
    <s v="RVJ"/>
    <s v="NORTH BRISTOL NHS TRUST"/>
    <s v="99Q"/>
    <x v="96"/>
    <s v="Incomplete Pathways"/>
    <x v="4"/>
    <x v="10"/>
    <n v="8"/>
    <n v="15"/>
  </r>
  <r>
    <s v="2016-17"/>
    <s v="MARCH"/>
    <s v="RVJ"/>
    <s v="NORTH BRISTOL NHS TRUST"/>
    <s v="99Q"/>
    <x v="96"/>
    <s v="Incomplete Pathways"/>
    <x v="8"/>
    <x v="0"/>
    <n v="0"/>
    <n v="1"/>
  </r>
  <r>
    <s v="2016-17"/>
    <s v="MARCH"/>
    <s v="RVJ"/>
    <s v="NORTH BRISTOL NHS TRUST"/>
    <s v="99Q"/>
    <x v="96"/>
    <s v="Incomplete Pathways"/>
    <x v="14"/>
    <x v="0"/>
    <n v="0"/>
    <n v="1"/>
  </r>
  <r>
    <s v="2016-17"/>
    <s v="MARCH"/>
    <s v="RVJ"/>
    <s v="NORTH BRISTOL NHS TRUST"/>
    <s v="99Q"/>
    <x v="96"/>
    <s v="Incomplete Pathways"/>
    <x v="11"/>
    <x v="0"/>
    <n v="0"/>
    <n v="1"/>
  </r>
  <r>
    <s v="2016-17"/>
    <s v="MARCH"/>
    <s v="RVJ"/>
    <s v="NORTH BRISTOL NHS TRUST"/>
    <s v="99Q"/>
    <x v="96"/>
    <s v="Incomplete Pathways"/>
    <x v="13"/>
    <x v="0"/>
    <n v="0"/>
    <n v="1"/>
  </r>
  <r>
    <s v="2016-17"/>
    <s v="MARCH"/>
    <s v="RVJ"/>
    <s v="NORTH BRISTOL NHS TRUST"/>
    <s v="99Q"/>
    <x v="96"/>
    <s v="Incomplete Pathways"/>
    <x v="5"/>
    <x v="11"/>
    <n v="2"/>
    <n v="8"/>
  </r>
  <r>
    <s v="2016-17"/>
    <s v="MARCH"/>
    <s v="RVJ"/>
    <s v="NORTH BRISTOL NHS TRUST"/>
    <s v="99Q"/>
    <x v="96"/>
    <s v="Incomplete Pathways"/>
    <x v="1"/>
    <x v="0"/>
    <n v="0"/>
    <n v="1"/>
  </r>
  <r>
    <s v="2016-17"/>
    <s v="MARCH"/>
    <s v="RVJ"/>
    <s v="NORTH BRISTOL NHS TRUST"/>
    <s v="99Q"/>
    <x v="96"/>
    <s v="Incomplete Pathways"/>
    <x v="2"/>
    <x v="77"/>
    <n v="14"/>
    <n v="51"/>
  </r>
  <r>
    <s v="2016-17"/>
    <s v="MARCH"/>
    <s v="RVJ"/>
    <s v="NORTH BRISTOL NHS TRUST"/>
    <s v="99Q"/>
    <x v="96"/>
    <s v="Incomplete Pathways"/>
    <x v="3"/>
    <x v="31"/>
    <n v="2"/>
    <n v="12"/>
  </r>
  <r>
    <s v="2016-17"/>
    <s v="MARCH"/>
    <s v="RVJ"/>
    <s v="NORTH BRISTOL NHS TRUST"/>
    <s v="09D"/>
    <x v="97"/>
    <s v="Incomplete Pathways"/>
    <x v="2"/>
    <x v="3"/>
    <n v="0"/>
    <n v="2"/>
  </r>
  <r>
    <s v="2016-17"/>
    <s v="MARCH"/>
    <s v="RVJ"/>
    <s v="NORTH BRISTOL NHS TRUST"/>
    <s v="09D"/>
    <x v="97"/>
    <s v="Incomplete Pathways"/>
    <x v="3"/>
    <x v="3"/>
    <n v="0"/>
    <n v="2"/>
  </r>
  <r>
    <s v="2016-17"/>
    <s v="MARCH"/>
    <s v="RVJ"/>
    <s v="NORTH BRISTOL NHS TRUST"/>
    <s v="09E"/>
    <x v="98"/>
    <s v="Incomplete Pathways"/>
    <x v="2"/>
    <x v="0"/>
    <n v="0"/>
    <n v="1"/>
  </r>
  <r>
    <s v="2016-17"/>
    <s v="MARCH"/>
    <s v="RVJ"/>
    <s v="NORTH BRISTOL NHS TRUST"/>
    <s v="09E"/>
    <x v="98"/>
    <s v="Incomplete Pathways"/>
    <x v="3"/>
    <x v="0"/>
    <n v="0"/>
    <n v="1"/>
  </r>
  <r>
    <s v="2016-17"/>
    <s v="MARCH"/>
    <s v="RVJ"/>
    <s v="NORTH BRISTOL NHS TRUST"/>
    <s v="09F"/>
    <x v="99"/>
    <s v="Incomplete Pathways"/>
    <x v="12"/>
    <x v="0"/>
    <n v="0"/>
    <n v="1"/>
  </r>
  <r>
    <s v="2016-17"/>
    <s v="MARCH"/>
    <s v="RVJ"/>
    <s v="NORTH BRISTOL NHS TRUST"/>
    <s v="09F"/>
    <x v="99"/>
    <s v="Incomplete Pathways"/>
    <x v="2"/>
    <x v="0"/>
    <n v="0"/>
    <n v="1"/>
  </r>
  <r>
    <s v="2016-17"/>
    <s v="MARCH"/>
    <s v="RVJ"/>
    <s v="NORTH BRISTOL NHS TRUST"/>
    <s v="09G"/>
    <x v="100"/>
    <s v="Incomplete Pathways"/>
    <x v="0"/>
    <x v="3"/>
    <n v="1"/>
    <n v="3"/>
  </r>
  <r>
    <s v="2016-17"/>
    <s v="MARCH"/>
    <s v="RVJ"/>
    <s v="NORTH BRISTOL NHS TRUST"/>
    <s v="09G"/>
    <x v="100"/>
    <s v="Incomplete Pathways"/>
    <x v="10"/>
    <x v="1"/>
    <n v="1"/>
    <n v="1"/>
  </r>
  <r>
    <s v="2016-17"/>
    <s v="MARCH"/>
    <s v="RVJ"/>
    <s v="NORTH BRISTOL NHS TRUST"/>
    <s v="09G"/>
    <x v="100"/>
    <s v="Incomplete Pathways"/>
    <x v="2"/>
    <x v="2"/>
    <n v="2"/>
    <n v="5"/>
  </r>
  <r>
    <s v="2016-17"/>
    <s v="MARCH"/>
    <s v="RVJ"/>
    <s v="NORTH BRISTOL NHS TRUST"/>
    <s v="09G"/>
    <x v="100"/>
    <s v="Incomplete Pathways"/>
    <x v="3"/>
    <x v="0"/>
    <n v="0"/>
    <n v="1"/>
  </r>
  <r>
    <s v="2016-17"/>
    <s v="MARCH"/>
    <s v="RVJ"/>
    <s v="NORTH BRISTOL NHS TRUST"/>
    <s v="09L"/>
    <x v="101"/>
    <s v="Incomplete Pathways"/>
    <x v="5"/>
    <x v="0"/>
    <n v="0"/>
    <n v="1"/>
  </r>
  <r>
    <s v="2016-17"/>
    <s v="MARCH"/>
    <s v="RVJ"/>
    <s v="NORTH BRISTOL NHS TRUST"/>
    <s v="09L"/>
    <x v="101"/>
    <s v="Incomplete Pathways"/>
    <x v="2"/>
    <x v="3"/>
    <n v="0"/>
    <n v="2"/>
  </r>
  <r>
    <s v="2016-17"/>
    <s v="MARCH"/>
    <s v="RVJ"/>
    <s v="NORTH BRISTOL NHS TRUST"/>
    <s v="09L"/>
    <x v="101"/>
    <s v="Incomplete Pathways"/>
    <x v="3"/>
    <x v="0"/>
    <n v="0"/>
    <n v="1"/>
  </r>
  <r>
    <s v="2016-17"/>
    <s v="MARCH"/>
    <s v="RVJ"/>
    <s v="NORTH BRISTOL NHS TRUST"/>
    <s v="09N"/>
    <x v="102"/>
    <s v="Incomplete Pathways"/>
    <x v="0"/>
    <x v="1"/>
    <n v="1"/>
    <n v="1"/>
  </r>
  <r>
    <s v="2016-17"/>
    <s v="MARCH"/>
    <s v="RVJ"/>
    <s v="NORTH BRISTOL NHS TRUST"/>
    <s v="09N"/>
    <x v="102"/>
    <s v="Incomplete Pathways"/>
    <x v="2"/>
    <x v="1"/>
    <n v="1"/>
    <n v="1"/>
  </r>
  <r>
    <s v="2016-17"/>
    <s v="MARCH"/>
    <s v="RVJ"/>
    <s v="NORTH BRISTOL NHS TRUST"/>
    <s v="09P"/>
    <x v="103"/>
    <s v="Incomplete Pathways"/>
    <x v="0"/>
    <x v="0"/>
    <n v="0"/>
    <n v="1"/>
  </r>
  <r>
    <s v="2016-17"/>
    <s v="MARCH"/>
    <s v="RVJ"/>
    <s v="NORTH BRISTOL NHS TRUST"/>
    <s v="09P"/>
    <x v="103"/>
    <s v="Incomplete Pathways"/>
    <x v="4"/>
    <x v="1"/>
    <n v="1"/>
    <n v="1"/>
  </r>
  <r>
    <s v="2016-17"/>
    <s v="MARCH"/>
    <s v="RVJ"/>
    <s v="NORTH BRISTOL NHS TRUST"/>
    <s v="09P"/>
    <x v="103"/>
    <s v="Incomplete Pathways"/>
    <x v="2"/>
    <x v="0"/>
    <n v="1"/>
    <n v="2"/>
  </r>
  <r>
    <s v="2016-17"/>
    <s v="MARCH"/>
    <s v="RVJ"/>
    <s v="NORTH BRISTOL NHS TRUST"/>
    <s v="09X"/>
    <x v="104"/>
    <s v="Incomplete Pathways"/>
    <x v="4"/>
    <x v="0"/>
    <n v="0"/>
    <n v="1"/>
  </r>
  <r>
    <s v="2016-17"/>
    <s v="MARCH"/>
    <s v="RVJ"/>
    <s v="NORTH BRISTOL NHS TRUST"/>
    <s v="09X"/>
    <x v="104"/>
    <s v="Incomplete Pathways"/>
    <x v="2"/>
    <x v="0"/>
    <n v="0"/>
    <n v="1"/>
  </r>
  <r>
    <s v="2016-17"/>
    <s v="MARCH"/>
    <s v="RVJ"/>
    <s v="NORTH BRISTOL NHS TRUST"/>
    <s v="09Y"/>
    <x v="105"/>
    <s v="Incomplete Pathways"/>
    <x v="0"/>
    <x v="0"/>
    <n v="0"/>
    <n v="1"/>
  </r>
  <r>
    <s v="2016-17"/>
    <s v="MARCH"/>
    <s v="RVJ"/>
    <s v="NORTH BRISTOL NHS TRUST"/>
    <s v="09Y"/>
    <x v="105"/>
    <s v="Incomplete Pathways"/>
    <x v="15"/>
    <x v="0"/>
    <n v="0"/>
    <n v="1"/>
  </r>
  <r>
    <s v="2016-17"/>
    <s v="MARCH"/>
    <s v="RVJ"/>
    <s v="NORTH BRISTOL NHS TRUST"/>
    <s v="09Y"/>
    <x v="105"/>
    <s v="Incomplete Pathways"/>
    <x v="2"/>
    <x v="3"/>
    <n v="0"/>
    <n v="2"/>
  </r>
  <r>
    <s v="2016-17"/>
    <s v="MARCH"/>
    <s v="RVJ"/>
    <s v="NORTH BRISTOL NHS TRUST"/>
    <s v="10A"/>
    <x v="106"/>
    <s v="Incomplete Pathways"/>
    <x v="0"/>
    <x v="0"/>
    <n v="1"/>
    <n v="2"/>
  </r>
  <r>
    <s v="2016-17"/>
    <s v="MARCH"/>
    <s v="RVJ"/>
    <s v="NORTH BRISTOL NHS TRUST"/>
    <s v="10A"/>
    <x v="106"/>
    <s v="Incomplete Pathways"/>
    <x v="2"/>
    <x v="0"/>
    <n v="1"/>
    <n v="2"/>
  </r>
  <r>
    <s v="2016-17"/>
    <s v="MARCH"/>
    <s v="RVJ"/>
    <s v="NORTH BRISTOL NHS TRUST"/>
    <s v="10D"/>
    <x v="107"/>
    <s v="Incomplete Pathways"/>
    <x v="0"/>
    <x v="0"/>
    <n v="0"/>
    <n v="1"/>
  </r>
  <r>
    <s v="2016-17"/>
    <s v="MARCH"/>
    <s v="RVJ"/>
    <s v="NORTH BRISTOL NHS TRUST"/>
    <s v="10D"/>
    <x v="107"/>
    <s v="Incomplete Pathways"/>
    <x v="2"/>
    <x v="0"/>
    <n v="0"/>
    <n v="1"/>
  </r>
  <r>
    <s v="2016-17"/>
    <s v="MARCH"/>
    <s v="RVJ"/>
    <s v="NORTH BRISTOL NHS TRUST"/>
    <s v="99H"/>
    <x v="108"/>
    <s v="Incomplete Pathways"/>
    <x v="2"/>
    <x v="0"/>
    <n v="0"/>
    <n v="1"/>
  </r>
  <r>
    <s v="2016-17"/>
    <s v="MARCH"/>
    <s v="RVJ"/>
    <s v="NORTH BRISTOL NHS TRUST"/>
    <s v="99H"/>
    <x v="108"/>
    <s v="Incomplete Pathways"/>
    <x v="3"/>
    <x v="0"/>
    <n v="0"/>
    <n v="1"/>
  </r>
  <r>
    <s v="2016-17"/>
    <s v="MARCH"/>
    <s v="RVJ"/>
    <s v="NORTH BRISTOL NHS TRUST"/>
    <s v="99J"/>
    <x v="109"/>
    <s v="Incomplete Pathways"/>
    <x v="1"/>
    <x v="0"/>
    <n v="0"/>
    <n v="1"/>
  </r>
  <r>
    <s v="2016-17"/>
    <s v="MARCH"/>
    <s v="RVJ"/>
    <s v="NORTH BRISTOL NHS TRUST"/>
    <s v="99J"/>
    <x v="109"/>
    <s v="Incomplete Pathways"/>
    <x v="2"/>
    <x v="0"/>
    <n v="0"/>
    <n v="1"/>
  </r>
  <r>
    <s v="2016-17"/>
    <s v="MARCH"/>
    <s v="RVJ"/>
    <s v="NORTH BRISTOL NHS TRUST"/>
    <s v="99K"/>
    <x v="110"/>
    <s v="Incomplete Pathways"/>
    <x v="4"/>
    <x v="1"/>
    <n v="1"/>
    <n v="1"/>
  </r>
  <r>
    <s v="2016-17"/>
    <s v="MARCH"/>
    <s v="RVJ"/>
    <s v="NORTH BRISTOL NHS TRUST"/>
    <s v="99K"/>
    <x v="110"/>
    <s v="Incomplete Pathways"/>
    <x v="2"/>
    <x v="1"/>
    <n v="1"/>
    <n v="1"/>
  </r>
  <r>
    <s v="2016-17"/>
    <s v="MARCH"/>
    <s v="RVJ"/>
    <s v="NORTH BRISTOL NHS TRUST"/>
    <s v="10G"/>
    <x v="111"/>
    <s v="Incomplete Pathways"/>
    <x v="0"/>
    <x v="0"/>
    <n v="0"/>
    <n v="1"/>
  </r>
  <r>
    <s v="2016-17"/>
    <s v="MARCH"/>
    <s v="RVJ"/>
    <s v="NORTH BRISTOL NHS TRUST"/>
    <s v="10G"/>
    <x v="111"/>
    <s v="Incomplete Pathways"/>
    <x v="2"/>
    <x v="0"/>
    <n v="0"/>
    <n v="1"/>
  </r>
  <r>
    <s v="2016-17"/>
    <s v="MARCH"/>
    <s v="RVJ"/>
    <s v="NORTH BRISTOL NHS TRUST"/>
    <s v="10M"/>
    <x v="112"/>
    <s v="Incomplete Pathways"/>
    <x v="6"/>
    <x v="2"/>
    <n v="0"/>
    <n v="3"/>
  </r>
  <r>
    <s v="2016-17"/>
    <s v="MARCH"/>
    <s v="RVJ"/>
    <s v="NORTH BRISTOL NHS TRUST"/>
    <s v="10M"/>
    <x v="112"/>
    <s v="Incomplete Pathways"/>
    <x v="0"/>
    <x v="1"/>
    <n v="1"/>
    <n v="1"/>
  </r>
  <r>
    <s v="2016-17"/>
    <s v="MARCH"/>
    <s v="RVJ"/>
    <s v="NORTH BRISTOL NHS TRUST"/>
    <s v="10M"/>
    <x v="112"/>
    <s v="Incomplete Pathways"/>
    <x v="2"/>
    <x v="2"/>
    <n v="1"/>
    <n v="4"/>
  </r>
  <r>
    <s v="2016-17"/>
    <s v="MARCH"/>
    <s v="RVJ"/>
    <s v="NORTH BRISTOL NHS TRUST"/>
    <s v="10N"/>
    <x v="113"/>
    <s v="Incomplete Pathways"/>
    <x v="0"/>
    <x v="1"/>
    <n v="1"/>
    <n v="1"/>
  </r>
  <r>
    <s v="2016-17"/>
    <s v="MARCH"/>
    <s v="RVJ"/>
    <s v="NORTH BRISTOL NHS TRUST"/>
    <s v="10N"/>
    <x v="113"/>
    <s v="Incomplete Pathways"/>
    <x v="2"/>
    <x v="1"/>
    <n v="1"/>
    <n v="1"/>
  </r>
  <r>
    <s v="2016-17"/>
    <s v="MARCH"/>
    <s v="RVJ"/>
    <s v="NORTH BRISTOL NHS TRUST"/>
    <s v="10Q"/>
    <x v="114"/>
    <s v="Incomplete Pathways"/>
    <x v="0"/>
    <x v="3"/>
    <n v="3"/>
    <n v="5"/>
  </r>
  <r>
    <s v="2016-17"/>
    <s v="MARCH"/>
    <s v="RVJ"/>
    <s v="NORTH BRISTOL NHS TRUST"/>
    <s v="10Q"/>
    <x v="114"/>
    <s v="Incomplete Pathways"/>
    <x v="4"/>
    <x v="1"/>
    <n v="2"/>
    <n v="2"/>
  </r>
  <r>
    <s v="2016-17"/>
    <s v="MARCH"/>
    <s v="RVJ"/>
    <s v="NORTH BRISTOL NHS TRUST"/>
    <s v="10Q"/>
    <x v="114"/>
    <s v="Incomplete Pathways"/>
    <x v="8"/>
    <x v="0"/>
    <n v="0"/>
    <n v="1"/>
  </r>
  <r>
    <s v="2016-17"/>
    <s v="MARCH"/>
    <s v="RVJ"/>
    <s v="NORTH BRISTOL NHS TRUST"/>
    <s v="10Q"/>
    <x v="114"/>
    <s v="Incomplete Pathways"/>
    <x v="2"/>
    <x v="4"/>
    <n v="5"/>
    <n v="9"/>
  </r>
  <r>
    <s v="2016-17"/>
    <s v="MARCH"/>
    <s v="RVJ"/>
    <s v="NORTH BRISTOL NHS TRUST"/>
    <s v="10Q"/>
    <x v="114"/>
    <s v="Incomplete Pathways"/>
    <x v="3"/>
    <x v="0"/>
    <n v="0"/>
    <n v="1"/>
  </r>
  <r>
    <s v="2016-17"/>
    <s v="MARCH"/>
    <s v="RVJ"/>
    <s v="NORTH BRISTOL NHS TRUST"/>
    <s v="10T"/>
    <x v="115"/>
    <s v="Incomplete Pathways"/>
    <x v="4"/>
    <x v="1"/>
    <n v="1"/>
    <n v="1"/>
  </r>
  <r>
    <s v="2016-17"/>
    <s v="MARCH"/>
    <s v="RVJ"/>
    <s v="NORTH BRISTOL NHS TRUST"/>
    <s v="10T"/>
    <x v="115"/>
    <s v="Incomplete Pathways"/>
    <x v="8"/>
    <x v="0"/>
    <n v="0"/>
    <n v="1"/>
  </r>
  <r>
    <s v="2016-17"/>
    <s v="MARCH"/>
    <s v="RVJ"/>
    <s v="NORTH BRISTOL NHS TRUST"/>
    <s v="10T"/>
    <x v="115"/>
    <s v="Incomplete Pathways"/>
    <x v="2"/>
    <x v="0"/>
    <n v="1"/>
    <n v="2"/>
  </r>
  <r>
    <s v="2016-17"/>
    <s v="MARCH"/>
    <s v="RVJ"/>
    <s v="NORTH BRISTOL NHS TRUST"/>
    <s v="10W"/>
    <x v="116"/>
    <s v="Incomplete Pathways"/>
    <x v="1"/>
    <x v="0"/>
    <n v="0"/>
    <n v="1"/>
  </r>
  <r>
    <s v="2016-17"/>
    <s v="MARCH"/>
    <s v="RVJ"/>
    <s v="NORTH BRISTOL NHS TRUST"/>
    <s v="10W"/>
    <x v="116"/>
    <s v="Incomplete Pathways"/>
    <x v="2"/>
    <x v="0"/>
    <n v="0"/>
    <n v="1"/>
  </r>
  <r>
    <s v="2016-17"/>
    <s v="MARCH"/>
    <s v="RVJ"/>
    <s v="NORTH BRISTOL NHS TRUST"/>
    <s v="10Y"/>
    <x v="117"/>
    <s v="Incomplete Pathways"/>
    <x v="4"/>
    <x v="1"/>
    <n v="1"/>
    <n v="1"/>
  </r>
  <r>
    <s v="2016-17"/>
    <s v="MARCH"/>
    <s v="RVJ"/>
    <s v="NORTH BRISTOL NHS TRUST"/>
    <s v="10Y"/>
    <x v="117"/>
    <s v="Incomplete Pathways"/>
    <x v="2"/>
    <x v="0"/>
    <n v="1"/>
    <n v="2"/>
  </r>
  <r>
    <s v="2016-17"/>
    <s v="MARCH"/>
    <s v="RVJ"/>
    <s v="NORTH BRISTOL NHS TRUST"/>
    <s v="10Y"/>
    <x v="117"/>
    <s v="Incomplete Pathways"/>
    <x v="3"/>
    <x v="0"/>
    <n v="0"/>
    <n v="1"/>
  </r>
  <r>
    <s v="2016-17"/>
    <s v="MARCH"/>
    <s v="RVJ"/>
    <s v="NORTH BRISTOL NHS TRUST"/>
    <s v="11C"/>
    <x v="118"/>
    <s v="Incomplete Pathways"/>
    <x v="0"/>
    <x v="1"/>
    <n v="3"/>
    <n v="3"/>
  </r>
  <r>
    <s v="2016-17"/>
    <s v="MARCH"/>
    <s v="RVJ"/>
    <s v="NORTH BRISTOL NHS TRUST"/>
    <s v="11C"/>
    <x v="118"/>
    <s v="Incomplete Pathways"/>
    <x v="4"/>
    <x v="1"/>
    <n v="1"/>
    <n v="1"/>
  </r>
  <r>
    <s v="2016-17"/>
    <s v="MARCH"/>
    <s v="RVJ"/>
    <s v="NORTH BRISTOL NHS TRUST"/>
    <s v="11C"/>
    <x v="118"/>
    <s v="Incomplete Pathways"/>
    <x v="11"/>
    <x v="0"/>
    <n v="0"/>
    <n v="1"/>
  </r>
  <r>
    <s v="2016-17"/>
    <s v="MARCH"/>
    <s v="RVJ"/>
    <s v="NORTH BRISTOL NHS TRUST"/>
    <s v="11C"/>
    <x v="118"/>
    <s v="Incomplete Pathways"/>
    <x v="2"/>
    <x v="0"/>
    <n v="4"/>
    <n v="5"/>
  </r>
  <r>
    <s v="2016-17"/>
    <s v="MARCH"/>
    <s v="RVJ"/>
    <s v="NORTH BRISTOL NHS TRUST"/>
    <s v="11D"/>
    <x v="119"/>
    <s v="Incomplete Pathways"/>
    <x v="0"/>
    <x v="1"/>
    <n v="1"/>
    <n v="1"/>
  </r>
  <r>
    <s v="2016-17"/>
    <s v="MARCH"/>
    <s v="RVJ"/>
    <s v="NORTH BRISTOL NHS TRUST"/>
    <s v="11D"/>
    <x v="119"/>
    <s v="Incomplete Pathways"/>
    <x v="11"/>
    <x v="0"/>
    <n v="0"/>
    <n v="1"/>
  </r>
  <r>
    <s v="2016-17"/>
    <s v="MARCH"/>
    <s v="RVJ"/>
    <s v="NORTH BRISTOL NHS TRUST"/>
    <s v="11D"/>
    <x v="119"/>
    <s v="Incomplete Pathways"/>
    <x v="2"/>
    <x v="0"/>
    <n v="1"/>
    <n v="2"/>
  </r>
  <r>
    <s v="2016-17"/>
    <s v="MARCH"/>
    <s v="RVJ"/>
    <s v="NORTH BRISTOL NHS TRUST"/>
    <s v="11E"/>
    <x v="120"/>
    <s v="Incomplete Pathways"/>
    <x v="7"/>
    <x v="51"/>
    <n v="5"/>
    <n v="27"/>
  </r>
  <r>
    <s v="2016-17"/>
    <s v="MARCH"/>
    <s v="RVJ"/>
    <s v="NORTH BRISTOL NHS TRUST"/>
    <s v="11E"/>
    <x v="120"/>
    <s v="Incomplete Pathways"/>
    <x v="6"/>
    <x v="78"/>
    <n v="3"/>
    <n v="52"/>
  </r>
  <r>
    <s v="2016-17"/>
    <s v="MARCH"/>
    <s v="RVJ"/>
    <s v="NORTH BRISTOL NHS TRUST"/>
    <s v="11E"/>
    <x v="120"/>
    <s v="Incomplete Pathways"/>
    <x v="0"/>
    <x v="38"/>
    <n v="38"/>
    <n v="126"/>
  </r>
  <r>
    <s v="2016-17"/>
    <s v="MARCH"/>
    <s v="RVJ"/>
    <s v="NORTH BRISTOL NHS TRUST"/>
    <s v="11E"/>
    <x v="120"/>
    <s v="Incomplete Pathways"/>
    <x v="4"/>
    <x v="79"/>
    <n v="16"/>
    <n v="69"/>
  </r>
  <r>
    <s v="2016-17"/>
    <s v="MARCH"/>
    <s v="RVJ"/>
    <s v="NORTH BRISTOL NHS TRUST"/>
    <s v="11E"/>
    <x v="120"/>
    <s v="Incomplete Pathways"/>
    <x v="8"/>
    <x v="80"/>
    <n v="12"/>
    <n v="165"/>
  </r>
  <r>
    <s v="2016-17"/>
    <s v="MARCH"/>
    <s v="RVJ"/>
    <s v="NORTH BRISTOL NHS TRUST"/>
    <s v="11E"/>
    <x v="120"/>
    <s v="Incomplete Pathways"/>
    <x v="14"/>
    <x v="0"/>
    <n v="0"/>
    <n v="1"/>
  </r>
  <r>
    <s v="2016-17"/>
    <s v="MARCH"/>
    <s v="RVJ"/>
    <s v="NORTH BRISTOL NHS TRUST"/>
    <s v="11E"/>
    <x v="120"/>
    <s v="Incomplete Pathways"/>
    <x v="9"/>
    <x v="52"/>
    <n v="1"/>
    <n v="15"/>
  </r>
  <r>
    <s v="2016-17"/>
    <s v="MARCH"/>
    <s v="RVJ"/>
    <s v="NORTH BRISTOL NHS TRUST"/>
    <s v="11E"/>
    <x v="120"/>
    <s v="Incomplete Pathways"/>
    <x v="11"/>
    <x v="6"/>
    <n v="1"/>
    <n v="9"/>
  </r>
  <r>
    <s v="2016-17"/>
    <s v="MARCH"/>
    <s v="RVJ"/>
    <s v="NORTH BRISTOL NHS TRUST"/>
    <s v="11E"/>
    <x v="120"/>
    <s v="Incomplete Pathways"/>
    <x v="12"/>
    <x v="78"/>
    <n v="1"/>
    <n v="50"/>
  </r>
  <r>
    <s v="2016-17"/>
    <s v="MARCH"/>
    <s v="RVJ"/>
    <s v="NORTH BRISTOL NHS TRUST"/>
    <s v="11E"/>
    <x v="120"/>
    <s v="Incomplete Pathways"/>
    <x v="13"/>
    <x v="31"/>
    <n v="0"/>
    <n v="10"/>
  </r>
  <r>
    <s v="2016-17"/>
    <s v="MARCH"/>
    <s v="RVJ"/>
    <s v="NORTH BRISTOL NHS TRUST"/>
    <s v="11E"/>
    <x v="120"/>
    <s v="Incomplete Pathways"/>
    <x v="5"/>
    <x v="81"/>
    <n v="7"/>
    <n v="65"/>
  </r>
  <r>
    <s v="2016-17"/>
    <s v="MARCH"/>
    <s v="RVJ"/>
    <s v="NORTH BRISTOL NHS TRUST"/>
    <s v="11E"/>
    <x v="120"/>
    <s v="Incomplete Pathways"/>
    <x v="10"/>
    <x v="11"/>
    <n v="0"/>
    <n v="6"/>
  </r>
  <r>
    <s v="2016-17"/>
    <s v="MARCH"/>
    <s v="RVJ"/>
    <s v="NORTH BRISTOL NHS TRUST"/>
    <s v="11E"/>
    <x v="120"/>
    <s v="Incomplete Pathways"/>
    <x v="16"/>
    <x v="0"/>
    <n v="0"/>
    <n v="1"/>
  </r>
  <r>
    <s v="2016-17"/>
    <s v="MARCH"/>
    <s v="RVJ"/>
    <s v="NORTH BRISTOL NHS TRUST"/>
    <s v="11E"/>
    <x v="120"/>
    <s v="Incomplete Pathways"/>
    <x v="1"/>
    <x v="74"/>
    <n v="2"/>
    <n v="21"/>
  </r>
  <r>
    <s v="2016-17"/>
    <s v="MARCH"/>
    <s v="RVJ"/>
    <s v="NORTH BRISTOL NHS TRUST"/>
    <s v="11E"/>
    <x v="120"/>
    <s v="Incomplete Pathways"/>
    <x v="2"/>
    <x v="82"/>
    <n v="113"/>
    <n v="955"/>
  </r>
  <r>
    <s v="2016-17"/>
    <s v="MARCH"/>
    <s v="RVJ"/>
    <s v="NORTH BRISTOL NHS TRUST"/>
    <s v="11E"/>
    <x v="120"/>
    <s v="Incomplete Pathways"/>
    <x v="3"/>
    <x v="83"/>
    <n v="27"/>
    <n v="338"/>
  </r>
  <r>
    <s v="2016-17"/>
    <s v="MARCH"/>
    <s v="RVJ"/>
    <s v="NORTH BRISTOL NHS TRUST"/>
    <s v="11M"/>
    <x v="121"/>
    <s v="Incomplete Pathways"/>
    <x v="7"/>
    <x v="74"/>
    <n v="3"/>
    <n v="22"/>
  </r>
  <r>
    <s v="2016-17"/>
    <s v="MARCH"/>
    <s v="RVJ"/>
    <s v="NORTH BRISTOL NHS TRUST"/>
    <s v="11M"/>
    <x v="121"/>
    <s v="Incomplete Pathways"/>
    <x v="6"/>
    <x v="84"/>
    <n v="4"/>
    <n v="46"/>
  </r>
  <r>
    <s v="2016-17"/>
    <s v="MARCH"/>
    <s v="RVJ"/>
    <s v="NORTH BRISTOL NHS TRUST"/>
    <s v="11M"/>
    <x v="121"/>
    <s v="Incomplete Pathways"/>
    <x v="0"/>
    <x v="85"/>
    <n v="48"/>
    <n v="160"/>
  </r>
  <r>
    <s v="2016-17"/>
    <s v="MARCH"/>
    <s v="RVJ"/>
    <s v="NORTH BRISTOL NHS TRUST"/>
    <s v="11M"/>
    <x v="121"/>
    <s v="Incomplete Pathways"/>
    <x v="4"/>
    <x v="36"/>
    <n v="38"/>
    <n v="127"/>
  </r>
  <r>
    <s v="2016-17"/>
    <s v="MARCH"/>
    <s v="RVJ"/>
    <s v="NORTH BRISTOL NHS TRUST"/>
    <s v="11M"/>
    <x v="121"/>
    <s v="Incomplete Pathways"/>
    <x v="8"/>
    <x v="86"/>
    <n v="14"/>
    <n v="153"/>
  </r>
  <r>
    <s v="2016-17"/>
    <s v="MARCH"/>
    <s v="RVJ"/>
    <s v="NORTH BRISTOL NHS TRUST"/>
    <s v="11M"/>
    <x v="121"/>
    <s v="Incomplete Pathways"/>
    <x v="14"/>
    <x v="0"/>
    <n v="0"/>
    <n v="1"/>
  </r>
  <r>
    <s v="2016-17"/>
    <s v="MARCH"/>
    <s v="RVJ"/>
    <s v="NORTH BRISTOL NHS TRUST"/>
    <s v="11M"/>
    <x v="121"/>
    <s v="Incomplete Pathways"/>
    <x v="9"/>
    <x v="6"/>
    <n v="0"/>
    <n v="8"/>
  </r>
  <r>
    <s v="2016-17"/>
    <s v="MARCH"/>
    <s v="RVJ"/>
    <s v="NORTH BRISTOL NHS TRUST"/>
    <s v="11M"/>
    <x v="121"/>
    <s v="Incomplete Pathways"/>
    <x v="11"/>
    <x v="47"/>
    <n v="1"/>
    <n v="18"/>
  </r>
  <r>
    <s v="2016-17"/>
    <s v="MARCH"/>
    <s v="RVJ"/>
    <s v="NORTH BRISTOL NHS TRUST"/>
    <s v="11M"/>
    <x v="121"/>
    <s v="Incomplete Pathways"/>
    <x v="12"/>
    <x v="11"/>
    <n v="1"/>
    <n v="7"/>
  </r>
  <r>
    <s v="2016-17"/>
    <s v="MARCH"/>
    <s v="RVJ"/>
    <s v="NORTH BRISTOL NHS TRUST"/>
    <s v="11M"/>
    <x v="121"/>
    <s v="Incomplete Pathways"/>
    <x v="13"/>
    <x v="13"/>
    <n v="1"/>
    <n v="27"/>
  </r>
  <r>
    <s v="2016-17"/>
    <s v="MARCH"/>
    <s v="RVJ"/>
    <s v="NORTH BRISTOL NHS TRUST"/>
    <s v="11M"/>
    <x v="121"/>
    <s v="Incomplete Pathways"/>
    <x v="5"/>
    <x v="87"/>
    <n v="4"/>
    <n v="61"/>
  </r>
  <r>
    <s v="2016-17"/>
    <s v="MARCH"/>
    <s v="RVJ"/>
    <s v="NORTH BRISTOL NHS TRUST"/>
    <s v="11M"/>
    <x v="121"/>
    <s v="Incomplete Pathways"/>
    <x v="10"/>
    <x v="11"/>
    <n v="0"/>
    <n v="6"/>
  </r>
  <r>
    <s v="2016-17"/>
    <s v="MARCH"/>
    <s v="RVJ"/>
    <s v="NORTH BRISTOL NHS TRUST"/>
    <s v="11M"/>
    <x v="121"/>
    <s v="Incomplete Pathways"/>
    <x v="1"/>
    <x v="88"/>
    <n v="4"/>
    <n v="50"/>
  </r>
  <r>
    <s v="2016-17"/>
    <s v="MARCH"/>
    <s v="RVJ"/>
    <s v="NORTH BRISTOL NHS TRUST"/>
    <s v="11M"/>
    <x v="121"/>
    <s v="Incomplete Pathways"/>
    <x v="2"/>
    <x v="89"/>
    <n v="124"/>
    <n v="811"/>
  </r>
  <r>
    <s v="2016-17"/>
    <s v="MARCH"/>
    <s v="RVJ"/>
    <s v="NORTH BRISTOL NHS TRUST"/>
    <s v="11M"/>
    <x v="121"/>
    <s v="Incomplete Pathways"/>
    <x v="3"/>
    <x v="90"/>
    <n v="6"/>
    <n v="125"/>
  </r>
  <r>
    <s v="2016-17"/>
    <s v="MARCH"/>
    <s v="RVJ"/>
    <s v="NORTH BRISTOL NHS TRUST"/>
    <s v="12D"/>
    <x v="122"/>
    <s v="Incomplete Pathways"/>
    <x v="7"/>
    <x v="4"/>
    <n v="0"/>
    <n v="4"/>
  </r>
  <r>
    <s v="2016-17"/>
    <s v="MARCH"/>
    <s v="RVJ"/>
    <s v="NORTH BRISTOL NHS TRUST"/>
    <s v="12D"/>
    <x v="122"/>
    <s v="Incomplete Pathways"/>
    <x v="6"/>
    <x v="91"/>
    <n v="3"/>
    <n v="26"/>
  </r>
  <r>
    <s v="2016-17"/>
    <s v="MARCH"/>
    <s v="RVJ"/>
    <s v="NORTH BRISTOL NHS TRUST"/>
    <s v="12D"/>
    <x v="122"/>
    <s v="Incomplete Pathways"/>
    <x v="0"/>
    <x v="6"/>
    <n v="1"/>
    <n v="9"/>
  </r>
  <r>
    <s v="2016-17"/>
    <s v="MARCH"/>
    <s v="RVJ"/>
    <s v="NORTH BRISTOL NHS TRUST"/>
    <s v="12D"/>
    <x v="122"/>
    <s v="Incomplete Pathways"/>
    <x v="4"/>
    <x v="2"/>
    <n v="2"/>
    <n v="5"/>
  </r>
  <r>
    <s v="2016-17"/>
    <s v="MARCH"/>
    <s v="RVJ"/>
    <s v="NORTH BRISTOL NHS TRUST"/>
    <s v="12D"/>
    <x v="122"/>
    <s v="Incomplete Pathways"/>
    <x v="8"/>
    <x v="31"/>
    <n v="3"/>
    <n v="13"/>
  </r>
  <r>
    <s v="2016-17"/>
    <s v="MARCH"/>
    <s v="RVJ"/>
    <s v="NORTH BRISTOL NHS TRUST"/>
    <s v="12D"/>
    <x v="122"/>
    <s v="Incomplete Pathways"/>
    <x v="12"/>
    <x v="3"/>
    <n v="0"/>
    <n v="2"/>
  </r>
  <r>
    <s v="2016-17"/>
    <s v="MARCH"/>
    <s v="RVJ"/>
    <s v="NORTH BRISTOL NHS TRUST"/>
    <s v="12D"/>
    <x v="122"/>
    <s v="Incomplete Pathways"/>
    <x v="13"/>
    <x v="0"/>
    <n v="0"/>
    <n v="1"/>
  </r>
  <r>
    <s v="2016-17"/>
    <s v="MARCH"/>
    <s v="RVJ"/>
    <s v="NORTH BRISTOL NHS TRUST"/>
    <s v="12D"/>
    <x v="122"/>
    <s v="Incomplete Pathways"/>
    <x v="5"/>
    <x v="5"/>
    <n v="0"/>
    <n v="9"/>
  </r>
  <r>
    <s v="2016-17"/>
    <s v="MARCH"/>
    <s v="RVJ"/>
    <s v="NORTH BRISTOL NHS TRUST"/>
    <s v="12D"/>
    <x v="122"/>
    <s v="Incomplete Pathways"/>
    <x v="10"/>
    <x v="0"/>
    <n v="0"/>
    <n v="1"/>
  </r>
  <r>
    <s v="2016-17"/>
    <s v="MARCH"/>
    <s v="RVJ"/>
    <s v="NORTH BRISTOL NHS TRUST"/>
    <s v="12D"/>
    <x v="122"/>
    <s v="Incomplete Pathways"/>
    <x v="1"/>
    <x v="3"/>
    <n v="1"/>
    <n v="3"/>
  </r>
  <r>
    <s v="2016-17"/>
    <s v="MARCH"/>
    <s v="RVJ"/>
    <s v="NORTH BRISTOL NHS TRUST"/>
    <s v="12D"/>
    <x v="122"/>
    <s v="Incomplete Pathways"/>
    <x v="2"/>
    <x v="92"/>
    <n v="18"/>
    <n v="117"/>
  </r>
  <r>
    <s v="2016-17"/>
    <s v="MARCH"/>
    <s v="RVJ"/>
    <s v="NORTH BRISTOL NHS TRUST"/>
    <s v="12D"/>
    <x v="122"/>
    <s v="Incomplete Pathways"/>
    <x v="3"/>
    <x v="27"/>
    <n v="8"/>
    <n v="44"/>
  </r>
  <r>
    <s v="2016-17"/>
    <s v="MARCH"/>
    <s v="RVJ"/>
    <s v="NORTH BRISTOL NHS TRUST"/>
    <s v="99N"/>
    <x v="123"/>
    <s v="Incomplete Pathways"/>
    <x v="7"/>
    <x v="74"/>
    <n v="5"/>
    <n v="24"/>
  </r>
  <r>
    <s v="2016-17"/>
    <s v="MARCH"/>
    <s v="RVJ"/>
    <s v="NORTH BRISTOL NHS TRUST"/>
    <s v="99N"/>
    <x v="123"/>
    <s v="Incomplete Pathways"/>
    <x v="6"/>
    <x v="93"/>
    <n v="0"/>
    <n v="24"/>
  </r>
  <r>
    <s v="2016-17"/>
    <s v="MARCH"/>
    <s v="RVJ"/>
    <s v="NORTH BRISTOL NHS TRUST"/>
    <s v="99N"/>
    <x v="123"/>
    <s v="Incomplete Pathways"/>
    <x v="0"/>
    <x v="94"/>
    <n v="15"/>
    <n v="79"/>
  </r>
  <r>
    <s v="2016-17"/>
    <s v="MARCH"/>
    <s v="RVJ"/>
    <s v="NORTH BRISTOL NHS TRUST"/>
    <s v="99N"/>
    <x v="123"/>
    <s v="Incomplete Pathways"/>
    <x v="4"/>
    <x v="63"/>
    <n v="21"/>
    <n v="72"/>
  </r>
  <r>
    <s v="2016-17"/>
    <s v="MARCH"/>
    <s v="RVJ"/>
    <s v="NORTH BRISTOL NHS TRUST"/>
    <s v="99N"/>
    <x v="123"/>
    <s v="Incomplete Pathways"/>
    <x v="8"/>
    <x v="95"/>
    <n v="10"/>
    <n v="142"/>
  </r>
  <r>
    <s v="2016-17"/>
    <s v="MARCH"/>
    <s v="RVJ"/>
    <s v="NORTH BRISTOL NHS TRUST"/>
    <s v="99N"/>
    <x v="123"/>
    <s v="Incomplete Pathways"/>
    <x v="9"/>
    <x v="52"/>
    <n v="2"/>
    <n v="16"/>
  </r>
  <r>
    <s v="2016-17"/>
    <s v="MARCH"/>
    <s v="RVJ"/>
    <s v="NORTH BRISTOL NHS TRUST"/>
    <s v="99N"/>
    <x v="123"/>
    <s v="Incomplete Pathways"/>
    <x v="11"/>
    <x v="6"/>
    <n v="0"/>
    <n v="8"/>
  </r>
  <r>
    <s v="2016-17"/>
    <s v="MARCH"/>
    <s v="RVJ"/>
    <s v="NORTH BRISTOL NHS TRUST"/>
    <s v="99N"/>
    <x v="123"/>
    <s v="Incomplete Pathways"/>
    <x v="12"/>
    <x v="62"/>
    <n v="0"/>
    <n v="13"/>
  </r>
  <r>
    <s v="2016-17"/>
    <s v="MARCH"/>
    <s v="RVJ"/>
    <s v="NORTH BRISTOL NHS TRUST"/>
    <s v="99N"/>
    <x v="123"/>
    <s v="Incomplete Pathways"/>
    <x v="13"/>
    <x v="8"/>
    <n v="2"/>
    <n v="13"/>
  </r>
  <r>
    <s v="2016-17"/>
    <s v="MARCH"/>
    <s v="RVJ"/>
    <s v="NORTH BRISTOL NHS TRUST"/>
    <s v="99N"/>
    <x v="123"/>
    <s v="Incomplete Pathways"/>
    <x v="5"/>
    <x v="49"/>
    <n v="5"/>
    <n v="90"/>
  </r>
  <r>
    <s v="2016-17"/>
    <s v="MARCH"/>
    <s v="RVJ"/>
    <s v="NORTH BRISTOL NHS TRUST"/>
    <s v="99N"/>
    <x v="123"/>
    <s v="Incomplete Pathways"/>
    <x v="10"/>
    <x v="0"/>
    <n v="1"/>
    <n v="2"/>
  </r>
  <r>
    <s v="2016-17"/>
    <s v="MARCH"/>
    <s v="RVJ"/>
    <s v="NORTH BRISTOL NHS TRUST"/>
    <s v="99N"/>
    <x v="123"/>
    <s v="Incomplete Pathways"/>
    <x v="1"/>
    <x v="52"/>
    <n v="2"/>
    <n v="16"/>
  </r>
  <r>
    <s v="2016-17"/>
    <s v="MARCH"/>
    <s v="RVJ"/>
    <s v="NORTH BRISTOL NHS TRUST"/>
    <s v="99N"/>
    <x v="123"/>
    <s v="Incomplete Pathways"/>
    <x v="2"/>
    <x v="96"/>
    <n v="84"/>
    <n v="834"/>
  </r>
  <r>
    <s v="2016-17"/>
    <s v="MARCH"/>
    <s v="RVJ"/>
    <s v="NORTH BRISTOL NHS TRUST"/>
    <s v="99N"/>
    <x v="123"/>
    <s v="Incomplete Pathways"/>
    <x v="3"/>
    <x v="97"/>
    <n v="21"/>
    <n v="335"/>
  </r>
  <r>
    <s v="2016-17"/>
    <s v="MARCH"/>
    <s v="RVJ"/>
    <s v="NORTH BRISTOL NHS TRUST"/>
    <s v="01M"/>
    <x v="124"/>
    <s v="Incomplete Pathways"/>
    <x v="0"/>
    <x v="0"/>
    <n v="0"/>
    <n v="1"/>
  </r>
  <r>
    <s v="2016-17"/>
    <s v="MARCH"/>
    <s v="RVJ"/>
    <s v="NORTH BRISTOL NHS TRUST"/>
    <s v="01M"/>
    <x v="124"/>
    <s v="Incomplete Pathways"/>
    <x v="2"/>
    <x v="0"/>
    <n v="0"/>
    <n v="1"/>
  </r>
  <r>
    <s v="2016-17"/>
    <s v="MARCH"/>
    <s v="RVJ"/>
    <s v="NORTH BRISTOL NHS TRUST"/>
    <s v="01N"/>
    <x v="125"/>
    <s v="Incomplete Pathways"/>
    <x v="6"/>
    <x v="0"/>
    <n v="0"/>
    <n v="1"/>
  </r>
  <r>
    <s v="2016-17"/>
    <s v="MARCH"/>
    <s v="RVJ"/>
    <s v="NORTH BRISTOL NHS TRUST"/>
    <s v="01N"/>
    <x v="125"/>
    <s v="Incomplete Pathways"/>
    <x v="2"/>
    <x v="0"/>
    <n v="0"/>
    <n v="1"/>
  </r>
  <r>
    <s v="2016-17"/>
    <s v="MARCH"/>
    <s v="RVJ"/>
    <s v="NORTH BRISTOL NHS TRUST"/>
    <s v="01W"/>
    <x v="126"/>
    <s v="Incomplete Pathways"/>
    <x v="8"/>
    <x v="0"/>
    <n v="0"/>
    <n v="1"/>
  </r>
  <r>
    <s v="2016-17"/>
    <s v="MARCH"/>
    <s v="RVJ"/>
    <s v="NORTH BRISTOL NHS TRUST"/>
    <s v="01W"/>
    <x v="126"/>
    <s v="Incomplete Pathways"/>
    <x v="2"/>
    <x v="0"/>
    <n v="0"/>
    <n v="1"/>
  </r>
  <r>
    <s v="2016-17"/>
    <s v="MARCH"/>
    <s v="RVJ"/>
    <s v="NORTH BRISTOL NHS TRUST"/>
    <s v="02A"/>
    <x v="127"/>
    <s v="Incomplete Pathways"/>
    <x v="2"/>
    <x v="0"/>
    <n v="0"/>
    <n v="1"/>
  </r>
  <r>
    <s v="2016-17"/>
    <s v="MARCH"/>
    <s v="RVJ"/>
    <s v="NORTH BRISTOL NHS TRUST"/>
    <s v="02A"/>
    <x v="127"/>
    <s v="Incomplete Pathways"/>
    <x v="3"/>
    <x v="0"/>
    <n v="0"/>
    <n v="1"/>
  </r>
  <r>
    <s v="2016-17"/>
    <s v="MARCH"/>
    <s v="RVJ"/>
    <s v="NORTH BRISTOL NHS TRUST"/>
    <s v="00Q"/>
    <x v="128"/>
    <s v="Incomplete Pathways"/>
    <x v="4"/>
    <x v="1"/>
    <n v="1"/>
    <n v="1"/>
  </r>
  <r>
    <s v="2016-17"/>
    <s v="MARCH"/>
    <s v="RVJ"/>
    <s v="NORTH BRISTOL NHS TRUST"/>
    <s v="00Q"/>
    <x v="128"/>
    <s v="Incomplete Pathways"/>
    <x v="2"/>
    <x v="1"/>
    <n v="1"/>
    <n v="1"/>
  </r>
  <r>
    <s v="2016-17"/>
    <s v="MARCH"/>
    <s v="RVJ"/>
    <s v="NORTH BRISTOL NHS TRUST"/>
    <s v="01A"/>
    <x v="129"/>
    <s v="Incomplete Pathways"/>
    <x v="6"/>
    <x v="0"/>
    <n v="0"/>
    <n v="1"/>
  </r>
  <r>
    <s v="2016-17"/>
    <s v="MARCH"/>
    <s v="RVJ"/>
    <s v="NORTH BRISTOL NHS TRUST"/>
    <s v="01A"/>
    <x v="129"/>
    <s v="Incomplete Pathways"/>
    <x v="2"/>
    <x v="0"/>
    <n v="0"/>
    <n v="1"/>
  </r>
  <r>
    <s v="2016-17"/>
    <s v="MARCH"/>
    <s v="RVJ"/>
    <s v="NORTH BRISTOL NHS TRUST"/>
    <s v="02M"/>
    <x v="130"/>
    <s v="Incomplete Pathways"/>
    <x v="4"/>
    <x v="1"/>
    <n v="1"/>
    <n v="1"/>
  </r>
  <r>
    <s v="2016-17"/>
    <s v="MARCH"/>
    <s v="RVJ"/>
    <s v="NORTH BRISTOL NHS TRUST"/>
    <s v="02M"/>
    <x v="130"/>
    <s v="Incomplete Pathways"/>
    <x v="2"/>
    <x v="0"/>
    <n v="1"/>
    <n v="2"/>
  </r>
  <r>
    <s v="2016-17"/>
    <s v="MARCH"/>
    <s v="RVJ"/>
    <s v="NORTH BRISTOL NHS TRUST"/>
    <s v="02M"/>
    <x v="130"/>
    <s v="Incomplete Pathways"/>
    <x v="3"/>
    <x v="0"/>
    <n v="0"/>
    <n v="1"/>
  </r>
  <r>
    <s v="2016-17"/>
    <s v="MARCH"/>
    <s v="RVJ"/>
    <s v="NORTH BRISTOL NHS TRUST"/>
    <s v="NONC"/>
    <x v="131"/>
    <s v="Incomplete Pathways"/>
    <x v="7"/>
    <x v="31"/>
    <n v="3"/>
    <n v="13"/>
  </r>
  <r>
    <s v="2016-17"/>
    <s v="MARCH"/>
    <s v="RVJ"/>
    <s v="NORTH BRISTOL NHS TRUST"/>
    <s v="NONC"/>
    <x v="131"/>
    <s v="Incomplete Pathways"/>
    <x v="6"/>
    <x v="52"/>
    <n v="0"/>
    <n v="14"/>
  </r>
  <r>
    <s v="2016-17"/>
    <s v="MARCH"/>
    <s v="RVJ"/>
    <s v="NORTH BRISTOL NHS TRUST"/>
    <s v="NONC"/>
    <x v="131"/>
    <s v="Incomplete Pathways"/>
    <x v="0"/>
    <x v="98"/>
    <n v="19"/>
    <n v="64"/>
  </r>
  <r>
    <s v="2016-17"/>
    <s v="MARCH"/>
    <s v="RVJ"/>
    <s v="NORTH BRISTOL NHS TRUST"/>
    <s v="NONC"/>
    <x v="131"/>
    <s v="Incomplete Pathways"/>
    <x v="4"/>
    <x v="5"/>
    <n v="5"/>
    <n v="14"/>
  </r>
  <r>
    <s v="2016-17"/>
    <s v="MARCH"/>
    <s v="RVJ"/>
    <s v="NORTH BRISTOL NHS TRUST"/>
    <s v="NONC"/>
    <x v="131"/>
    <s v="Incomplete Pathways"/>
    <x v="8"/>
    <x v="11"/>
    <n v="0"/>
    <n v="6"/>
  </r>
  <r>
    <s v="2016-17"/>
    <s v="MARCH"/>
    <s v="RVJ"/>
    <s v="NORTH BRISTOL NHS TRUST"/>
    <s v="NONC"/>
    <x v="131"/>
    <s v="Incomplete Pathways"/>
    <x v="15"/>
    <x v="0"/>
    <n v="0"/>
    <n v="1"/>
  </r>
  <r>
    <s v="2016-17"/>
    <s v="MARCH"/>
    <s v="RVJ"/>
    <s v="NORTH BRISTOL NHS TRUST"/>
    <s v="NONC"/>
    <x v="131"/>
    <s v="Incomplete Pathways"/>
    <x v="9"/>
    <x v="3"/>
    <n v="0"/>
    <n v="2"/>
  </r>
  <r>
    <s v="2016-17"/>
    <s v="MARCH"/>
    <s v="RVJ"/>
    <s v="NORTH BRISTOL NHS TRUST"/>
    <s v="NONC"/>
    <x v="131"/>
    <s v="Incomplete Pathways"/>
    <x v="11"/>
    <x v="3"/>
    <n v="0"/>
    <n v="2"/>
  </r>
  <r>
    <s v="2016-17"/>
    <s v="MARCH"/>
    <s v="RVJ"/>
    <s v="NORTH BRISTOL NHS TRUST"/>
    <s v="NONC"/>
    <x v="131"/>
    <s v="Incomplete Pathways"/>
    <x v="12"/>
    <x v="4"/>
    <n v="0"/>
    <n v="4"/>
  </r>
  <r>
    <s v="2016-17"/>
    <s v="MARCH"/>
    <s v="RVJ"/>
    <s v="NORTH BRISTOL NHS TRUST"/>
    <s v="NONC"/>
    <x v="131"/>
    <s v="Incomplete Pathways"/>
    <x v="13"/>
    <x v="4"/>
    <n v="0"/>
    <n v="4"/>
  </r>
  <r>
    <s v="2016-17"/>
    <s v="MARCH"/>
    <s v="RVJ"/>
    <s v="NORTH BRISTOL NHS TRUST"/>
    <s v="NONC"/>
    <x v="131"/>
    <s v="Incomplete Pathways"/>
    <x v="5"/>
    <x v="99"/>
    <n v="0"/>
    <n v="15"/>
  </r>
  <r>
    <s v="2016-17"/>
    <s v="MARCH"/>
    <s v="RVJ"/>
    <s v="NORTH BRISTOL NHS TRUST"/>
    <s v="NONC"/>
    <x v="131"/>
    <s v="Incomplete Pathways"/>
    <x v="10"/>
    <x v="3"/>
    <n v="1"/>
    <n v="3"/>
  </r>
  <r>
    <s v="2016-17"/>
    <s v="MARCH"/>
    <s v="RVJ"/>
    <s v="NORTH BRISTOL NHS TRUST"/>
    <s v="NONC"/>
    <x v="131"/>
    <s v="Incomplete Pathways"/>
    <x v="1"/>
    <x v="8"/>
    <n v="1"/>
    <n v="12"/>
  </r>
  <r>
    <s v="2016-17"/>
    <s v="MARCH"/>
    <s v="RVJ"/>
    <s v="NORTH BRISTOL NHS TRUST"/>
    <s v="NONC"/>
    <x v="131"/>
    <s v="Incomplete Pathways"/>
    <x v="2"/>
    <x v="100"/>
    <n v="30"/>
    <n v="175"/>
  </r>
  <r>
    <s v="2016-17"/>
    <s v="MARCH"/>
    <s v="RVJ"/>
    <s v="NORTH BRISTOL NHS TRUST"/>
    <s v="NONC"/>
    <x v="131"/>
    <s v="Incomplete Pathways"/>
    <x v="3"/>
    <x v="101"/>
    <n v="1"/>
    <n v="21"/>
  </r>
  <r>
    <s v="2016-17"/>
    <s v="MARCH"/>
    <s v="RVJ"/>
    <s v="NORTH BRISTOL NHS TRUST"/>
    <s v="X24"/>
    <x v="132"/>
    <s v="Incomplete Pathways"/>
    <x v="6"/>
    <x v="9"/>
    <n v="0"/>
    <n v="5"/>
  </r>
  <r>
    <s v="2016-17"/>
    <s v="MARCH"/>
    <s v="RVJ"/>
    <s v="NORTH BRISTOL NHS TRUST"/>
    <s v="X24"/>
    <x v="132"/>
    <s v="Incomplete Pathways"/>
    <x v="0"/>
    <x v="5"/>
    <n v="2"/>
    <n v="11"/>
  </r>
  <r>
    <s v="2016-17"/>
    <s v="MARCH"/>
    <s v="RVJ"/>
    <s v="NORTH BRISTOL NHS TRUST"/>
    <s v="X24"/>
    <x v="132"/>
    <s v="Incomplete Pathways"/>
    <x v="8"/>
    <x v="4"/>
    <n v="1"/>
    <n v="5"/>
  </r>
  <r>
    <s v="2016-17"/>
    <s v="MARCH"/>
    <s v="RVJ"/>
    <s v="NORTH BRISTOL NHS TRUST"/>
    <s v="X24"/>
    <x v="132"/>
    <s v="Incomplete Pathways"/>
    <x v="9"/>
    <x v="3"/>
    <n v="0"/>
    <n v="2"/>
  </r>
  <r>
    <s v="2016-17"/>
    <s v="MARCH"/>
    <s v="RVJ"/>
    <s v="NORTH BRISTOL NHS TRUST"/>
    <s v="X24"/>
    <x v="132"/>
    <s v="Incomplete Pathways"/>
    <x v="11"/>
    <x v="2"/>
    <n v="1"/>
    <n v="4"/>
  </r>
  <r>
    <s v="2016-17"/>
    <s v="MARCH"/>
    <s v="RVJ"/>
    <s v="NORTH BRISTOL NHS TRUST"/>
    <s v="X24"/>
    <x v="132"/>
    <s v="Incomplete Pathways"/>
    <x v="12"/>
    <x v="4"/>
    <n v="0"/>
    <n v="4"/>
  </r>
  <r>
    <s v="2016-17"/>
    <s v="MARCH"/>
    <s v="RVJ"/>
    <s v="NORTH BRISTOL NHS TRUST"/>
    <s v="X24"/>
    <x v="132"/>
    <s v="Incomplete Pathways"/>
    <x v="5"/>
    <x v="10"/>
    <n v="0"/>
    <n v="7"/>
  </r>
  <r>
    <s v="2016-17"/>
    <s v="MARCH"/>
    <s v="RVJ"/>
    <s v="NORTH BRISTOL NHS TRUST"/>
    <s v="X24"/>
    <x v="132"/>
    <s v="Incomplete Pathways"/>
    <x v="10"/>
    <x v="0"/>
    <n v="0"/>
    <n v="1"/>
  </r>
  <r>
    <s v="2016-17"/>
    <s v="MARCH"/>
    <s v="RVJ"/>
    <s v="NORTH BRISTOL NHS TRUST"/>
    <s v="X24"/>
    <x v="132"/>
    <s v="Incomplete Pathways"/>
    <x v="1"/>
    <x v="10"/>
    <n v="1"/>
    <n v="8"/>
  </r>
  <r>
    <s v="2016-17"/>
    <s v="MARCH"/>
    <s v="RVJ"/>
    <s v="NORTH BRISTOL NHS TRUST"/>
    <s v="X24"/>
    <x v="132"/>
    <s v="Incomplete Pathways"/>
    <x v="2"/>
    <x v="102"/>
    <n v="8"/>
    <n v="67"/>
  </r>
  <r>
    <s v="2016-17"/>
    <s v="MARCH"/>
    <s v="RVJ"/>
    <s v="NORTH BRISTOL NHS TRUST"/>
    <s v="X24"/>
    <x v="132"/>
    <s v="Incomplete Pathways"/>
    <x v="3"/>
    <x v="47"/>
    <n v="3"/>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E728D-B475-4B08-BEC0-924D978AAA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reatment Function Name">
  <location ref="A3:B20" firstHeaderRow="1" firstDataRow="1" firstDataCol="1" rowPageCount="1" colPageCount="1"/>
  <pivotFields count="12">
    <pivotField showAll="0"/>
    <pivotField showAll="0"/>
    <pivotField showAll="0"/>
    <pivotField showAll="0"/>
    <pivotField showAll="0"/>
    <pivotField axis="axisPage" multipleItemSelectionAllowed="1" showAll="0">
      <items count="134">
        <item x="117"/>
        <item x="9"/>
        <item x="10"/>
        <item x="120"/>
        <item x="11"/>
        <item x="76"/>
        <item x="63"/>
        <item x="128"/>
        <item x="111"/>
        <item x="33"/>
        <item x="31"/>
        <item x="12"/>
        <item x="97"/>
        <item x="90"/>
        <item x="13"/>
        <item x="32"/>
        <item x="84"/>
        <item x="56"/>
        <item x="98"/>
        <item x="88"/>
        <item x="14"/>
        <item x="100"/>
        <item x="77"/>
        <item x="64"/>
        <item x="34"/>
        <item x="7"/>
        <item x="65"/>
        <item x="41"/>
        <item x="15"/>
        <item x="82"/>
        <item x="129"/>
        <item x="78"/>
        <item x="35"/>
        <item x="57"/>
        <item x="101"/>
        <item x="99"/>
        <item x="16"/>
        <item x="132"/>
        <item x="1"/>
        <item x="130"/>
        <item x="121"/>
        <item x="36"/>
        <item x="18"/>
        <item x="102"/>
        <item x="19"/>
        <item x="51"/>
        <item x="20"/>
        <item x="103"/>
        <item x="21"/>
        <item x="66"/>
        <item x="83"/>
        <item x="110"/>
        <item x="22"/>
        <item x="104"/>
        <item x="17"/>
        <item x="2"/>
        <item x="23"/>
        <item x="91"/>
        <item x="24"/>
        <item x="25"/>
        <item x="37"/>
        <item x="79"/>
        <item x="26"/>
        <item x="50"/>
        <item x="85"/>
        <item x="80"/>
        <item x="112"/>
        <item x="45"/>
        <item x="113"/>
        <item x="44"/>
        <item x="52"/>
        <item x="42"/>
        <item x="8"/>
        <item x="0"/>
        <item x="124"/>
        <item x="92"/>
        <item x="105"/>
        <item x="95"/>
        <item x="43"/>
        <item x="53"/>
        <item x="114"/>
        <item x="3"/>
        <item x="27"/>
        <item x="68"/>
        <item x="28"/>
        <item x="38"/>
        <item x="54"/>
        <item x="69"/>
        <item x="39"/>
        <item x="58"/>
        <item x="115"/>
        <item x="70"/>
        <item x="93"/>
        <item x="96"/>
        <item x="59"/>
        <item x="4"/>
        <item x="94"/>
        <item x="106"/>
        <item x="125"/>
        <item x="86"/>
        <item x="116"/>
        <item x="46"/>
        <item x="71"/>
        <item x="72"/>
        <item x="5"/>
        <item x="89"/>
        <item x="55"/>
        <item x="47"/>
        <item x="29"/>
        <item x="60"/>
        <item x="126"/>
        <item x="61"/>
        <item x="108"/>
        <item x="107"/>
        <item x="122"/>
        <item x="62"/>
        <item x="87"/>
        <item x="127"/>
        <item x="40"/>
        <item x="73"/>
        <item x="67"/>
        <item x="48"/>
        <item x="6"/>
        <item x="109"/>
        <item x="81"/>
        <item x="30"/>
        <item x="123"/>
        <item x="118"/>
        <item x="49"/>
        <item x="119"/>
        <item x="74"/>
        <item x="75"/>
        <item h="1" x="131"/>
        <item t="default"/>
      </items>
    </pivotField>
    <pivotField showAll="0"/>
    <pivotField axis="axisRow" showAll="0" sortType="descending">
      <items count="18">
        <item x="11"/>
        <item x="14"/>
        <item x="12"/>
        <item x="9"/>
        <item x="15"/>
        <item x="7"/>
        <item x="16"/>
        <item x="1"/>
        <item x="5"/>
        <item x="4"/>
        <item x="3"/>
        <item x="8"/>
        <item x="10"/>
        <item x="13"/>
        <item h="1" x="2"/>
        <item x="0"/>
        <item x="6"/>
        <item t="default"/>
      </items>
      <autoSortScope>
        <pivotArea dataOnly="0" outline="0" fieldPosition="0">
          <references count="1">
            <reference field="4294967294" count="1" selected="0">
              <x v="0"/>
            </reference>
          </references>
        </pivotArea>
      </autoSortScope>
    </pivotField>
    <pivotField showAll="0">
      <items count="104">
        <item x="1"/>
        <item x="0"/>
        <item x="3"/>
        <item x="2"/>
        <item x="4"/>
        <item x="9"/>
        <item x="11"/>
        <item x="10"/>
        <item x="6"/>
        <item x="5"/>
        <item x="31"/>
        <item x="8"/>
        <item x="62"/>
        <item x="52"/>
        <item x="99"/>
        <item x="47"/>
        <item x="19"/>
        <item x="74"/>
        <item x="101"/>
        <item x="51"/>
        <item x="91"/>
        <item x="93"/>
        <item x="20"/>
        <item x="13"/>
        <item x="75"/>
        <item x="54"/>
        <item x="12"/>
        <item x="27"/>
        <item x="77"/>
        <item x="84"/>
        <item x="98"/>
        <item x="88"/>
        <item x="7"/>
        <item x="78"/>
        <item x="63"/>
        <item x="79"/>
        <item x="87"/>
        <item x="81"/>
        <item x="102"/>
        <item x="43"/>
        <item x="94"/>
        <item x="48"/>
        <item x="53"/>
        <item x="32"/>
        <item x="70"/>
        <item x="49"/>
        <item x="38"/>
        <item x="36"/>
        <item x="92"/>
        <item x="60"/>
        <item x="41"/>
        <item x="85"/>
        <item x="90"/>
        <item x="76"/>
        <item x="39"/>
        <item x="95"/>
        <item x="33"/>
        <item x="86"/>
        <item x="100"/>
        <item x="80"/>
        <item x="50"/>
        <item x="40"/>
        <item x="26"/>
        <item x="56"/>
        <item x="17"/>
        <item x="37"/>
        <item x="69"/>
        <item x="21"/>
        <item x="34"/>
        <item x="83"/>
        <item x="97"/>
        <item x="64"/>
        <item x="24"/>
        <item x="22"/>
        <item x="44"/>
        <item x="67"/>
        <item x="42"/>
        <item x="35"/>
        <item x="57"/>
        <item x="68"/>
        <item x="14"/>
        <item x="23"/>
        <item x="65"/>
        <item x="66"/>
        <item x="18"/>
        <item x="58"/>
        <item x="89"/>
        <item x="61"/>
        <item x="96"/>
        <item x="46"/>
        <item x="55"/>
        <item x="82"/>
        <item x="25"/>
        <item x="71"/>
        <item x="59"/>
        <item x="15"/>
        <item x="28"/>
        <item x="16"/>
        <item x="73"/>
        <item x="30"/>
        <item x="45"/>
        <item x="72"/>
        <item x="29"/>
        <item t="default"/>
      </items>
    </pivotField>
    <pivotField showAll="0"/>
    <pivotField showAll="0"/>
    <pivotField dataField="1" dragToRow="0" dragToCol="0" dragToPage="0" showAll="0" defaultSubtotal="0"/>
  </pivotFields>
  <rowFields count="1">
    <field x="7"/>
  </rowFields>
  <rowItems count="17">
    <i>
      <x v="1"/>
    </i>
    <i>
      <x v="4"/>
    </i>
    <i>
      <x v="6"/>
    </i>
    <i>
      <x v="2"/>
    </i>
    <i>
      <x/>
    </i>
    <i>
      <x v="16"/>
    </i>
    <i>
      <x v="12"/>
    </i>
    <i>
      <x v="11"/>
    </i>
    <i>
      <x v="8"/>
    </i>
    <i>
      <x v="10"/>
    </i>
    <i>
      <x v="3"/>
    </i>
    <i>
      <x v="13"/>
    </i>
    <i>
      <x v="7"/>
    </i>
    <i>
      <x v="5"/>
    </i>
    <i>
      <x v="9"/>
    </i>
    <i>
      <x v="15"/>
    </i>
    <i t="grand">
      <x/>
    </i>
  </rowItems>
  <colItems count="1">
    <i/>
  </colItems>
  <pageFields count="1">
    <pageField fld="5" hier="-1"/>
  </pageFields>
  <dataFields count="1">
    <dataField name="% waits &lt;18 weeks" fld="11" baseField="7" baseItem="0" numFmtId="4"/>
  </dataFields>
  <formats count="5">
    <format dxfId="18">
      <pivotArea outline="0" collapsedLevelsAreSubtotals="1" fieldPosition="0"/>
    </format>
    <format dxfId="17">
      <pivotArea field="5" type="button" dataOnly="0" labelOnly="1" outline="0" axis="axisPage" fieldPosition="0"/>
    </format>
    <format dxfId="16">
      <pivotArea outline="0" collapsedLevelsAreSubtotals="1" fieldPosition="0"/>
    </format>
    <format dxfId="15">
      <pivotArea field="5" type="button" dataOnly="0" labelOnly="1" outline="0" axis="axisPage" fieldPosition="0"/>
    </format>
    <format dxfId="14">
      <pivotArea outline="0" collapsedLevelsAreSubtotals="1" fieldPosition="0">
        <references count="1">
          <reference field="4294967294" count="1" selected="0">
            <x v="0"/>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3F82F-5DE5-4C6F-8D41-CBCDE146EE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eatment Function Name">
  <location ref="A3:D20" firstHeaderRow="0" firstDataRow="1" firstDataCol="1" rowPageCount="1" colPageCount="1"/>
  <pivotFields count="12">
    <pivotField showAll="0"/>
    <pivotField showAll="0"/>
    <pivotField showAll="0"/>
    <pivotField showAll="0"/>
    <pivotField showAll="0"/>
    <pivotField axis="axisPage" multipleItemSelectionAllowed="1" showAll="0">
      <items count="134">
        <item x="117"/>
        <item x="9"/>
        <item x="10"/>
        <item x="120"/>
        <item x="11"/>
        <item x="76"/>
        <item x="63"/>
        <item x="128"/>
        <item x="111"/>
        <item x="33"/>
        <item x="31"/>
        <item x="12"/>
        <item x="97"/>
        <item x="90"/>
        <item x="13"/>
        <item x="32"/>
        <item x="84"/>
        <item x="56"/>
        <item x="98"/>
        <item x="88"/>
        <item x="14"/>
        <item x="100"/>
        <item x="77"/>
        <item x="64"/>
        <item x="34"/>
        <item x="7"/>
        <item x="65"/>
        <item x="41"/>
        <item x="15"/>
        <item x="82"/>
        <item x="129"/>
        <item x="78"/>
        <item x="35"/>
        <item x="57"/>
        <item x="101"/>
        <item x="99"/>
        <item x="16"/>
        <item x="132"/>
        <item x="1"/>
        <item x="130"/>
        <item x="121"/>
        <item x="36"/>
        <item x="18"/>
        <item x="102"/>
        <item x="19"/>
        <item x="51"/>
        <item x="20"/>
        <item x="103"/>
        <item x="21"/>
        <item x="66"/>
        <item x="83"/>
        <item x="110"/>
        <item x="22"/>
        <item x="104"/>
        <item x="17"/>
        <item x="2"/>
        <item x="23"/>
        <item x="91"/>
        <item x="24"/>
        <item x="25"/>
        <item x="37"/>
        <item x="79"/>
        <item x="26"/>
        <item x="50"/>
        <item x="85"/>
        <item x="80"/>
        <item x="112"/>
        <item x="45"/>
        <item x="113"/>
        <item x="44"/>
        <item x="52"/>
        <item x="42"/>
        <item x="8"/>
        <item x="0"/>
        <item x="124"/>
        <item x="92"/>
        <item x="105"/>
        <item x="95"/>
        <item x="43"/>
        <item x="53"/>
        <item x="114"/>
        <item x="3"/>
        <item x="27"/>
        <item x="68"/>
        <item x="28"/>
        <item x="38"/>
        <item x="54"/>
        <item x="69"/>
        <item x="39"/>
        <item x="58"/>
        <item x="115"/>
        <item x="70"/>
        <item x="93"/>
        <item x="96"/>
        <item x="59"/>
        <item x="4"/>
        <item x="94"/>
        <item x="106"/>
        <item x="125"/>
        <item x="86"/>
        <item x="116"/>
        <item x="46"/>
        <item x="71"/>
        <item x="72"/>
        <item x="5"/>
        <item x="89"/>
        <item x="55"/>
        <item x="47"/>
        <item x="29"/>
        <item x="60"/>
        <item x="126"/>
        <item x="61"/>
        <item x="108"/>
        <item x="107"/>
        <item x="122"/>
        <item x="62"/>
        <item x="87"/>
        <item x="127"/>
        <item x="40"/>
        <item x="73"/>
        <item x="67"/>
        <item x="48"/>
        <item x="6"/>
        <item x="109"/>
        <item x="81"/>
        <item x="30"/>
        <item x="123"/>
        <item x="118"/>
        <item x="49"/>
        <item x="119"/>
        <item x="74"/>
        <item x="75"/>
        <item x="131"/>
        <item t="default"/>
      </items>
    </pivotField>
    <pivotField showAll="0"/>
    <pivotField axis="axisRow" showAll="0">
      <items count="18">
        <item x="11"/>
        <item x="14"/>
        <item x="12"/>
        <item x="9"/>
        <item x="15"/>
        <item x="7"/>
        <item x="16"/>
        <item x="1"/>
        <item x="5"/>
        <item x="4"/>
        <item x="3"/>
        <item x="8"/>
        <item x="10"/>
        <item x="13"/>
        <item h="1" x="2"/>
        <item x="0"/>
        <item x="6"/>
        <item t="default"/>
      </items>
    </pivotField>
    <pivotField dataField="1" showAll="0">
      <items count="104">
        <item x="1"/>
        <item x="0"/>
        <item x="3"/>
        <item x="2"/>
        <item x="4"/>
        <item x="9"/>
        <item x="11"/>
        <item x="10"/>
        <item x="6"/>
        <item x="5"/>
        <item x="31"/>
        <item x="8"/>
        <item x="62"/>
        <item x="52"/>
        <item x="99"/>
        <item x="47"/>
        <item x="19"/>
        <item x="74"/>
        <item x="101"/>
        <item x="51"/>
        <item x="91"/>
        <item x="93"/>
        <item x="20"/>
        <item x="13"/>
        <item x="75"/>
        <item x="54"/>
        <item x="12"/>
        <item x="27"/>
        <item x="77"/>
        <item x="84"/>
        <item x="98"/>
        <item x="88"/>
        <item x="7"/>
        <item x="78"/>
        <item x="63"/>
        <item x="79"/>
        <item x="87"/>
        <item x="81"/>
        <item x="102"/>
        <item x="43"/>
        <item x="94"/>
        <item x="48"/>
        <item x="53"/>
        <item x="32"/>
        <item x="70"/>
        <item x="49"/>
        <item x="38"/>
        <item x="36"/>
        <item x="92"/>
        <item x="60"/>
        <item x="41"/>
        <item x="85"/>
        <item x="90"/>
        <item x="76"/>
        <item x="39"/>
        <item x="95"/>
        <item x="33"/>
        <item x="86"/>
        <item x="100"/>
        <item x="80"/>
        <item x="50"/>
        <item x="40"/>
        <item x="26"/>
        <item x="56"/>
        <item x="17"/>
        <item x="37"/>
        <item x="69"/>
        <item x="21"/>
        <item x="34"/>
        <item x="83"/>
        <item x="97"/>
        <item x="64"/>
        <item x="24"/>
        <item x="22"/>
        <item x="44"/>
        <item x="67"/>
        <item x="42"/>
        <item x="35"/>
        <item x="57"/>
        <item x="68"/>
        <item x="14"/>
        <item x="23"/>
        <item x="65"/>
        <item x="66"/>
        <item x="18"/>
        <item x="58"/>
        <item x="89"/>
        <item x="61"/>
        <item x="96"/>
        <item x="46"/>
        <item x="55"/>
        <item x="82"/>
        <item x="25"/>
        <item x="71"/>
        <item x="59"/>
        <item x="15"/>
        <item x="28"/>
        <item x="16"/>
        <item x="73"/>
        <item x="30"/>
        <item x="45"/>
        <item x="72"/>
        <item x="29"/>
        <item t="default"/>
      </items>
    </pivotField>
    <pivotField showAll="0"/>
    <pivotField dataField="1" showAll="0"/>
    <pivotField dataField="1" dragToRow="0" dragToCol="0" dragToPage="0" showAll="0" defaultSubtotal="0"/>
  </pivotFields>
  <rowFields count="1">
    <field x="7"/>
  </rowFields>
  <rowItems count="17">
    <i>
      <x/>
    </i>
    <i>
      <x v="1"/>
    </i>
    <i>
      <x v="2"/>
    </i>
    <i>
      <x v="3"/>
    </i>
    <i>
      <x v="4"/>
    </i>
    <i>
      <x v="5"/>
    </i>
    <i>
      <x v="6"/>
    </i>
    <i>
      <x v="7"/>
    </i>
    <i>
      <x v="8"/>
    </i>
    <i>
      <x v="9"/>
    </i>
    <i>
      <x v="10"/>
    </i>
    <i>
      <x v="11"/>
    </i>
    <i>
      <x v="12"/>
    </i>
    <i>
      <x v="13"/>
    </i>
    <i>
      <x v="15"/>
    </i>
    <i>
      <x v="16"/>
    </i>
    <i t="grand">
      <x/>
    </i>
  </rowItems>
  <colFields count="1">
    <field x="-2"/>
  </colFields>
  <colItems count="3">
    <i>
      <x/>
    </i>
    <i i="1">
      <x v="1"/>
    </i>
    <i i="2">
      <x v="2"/>
    </i>
  </colItems>
  <pageFields count="1">
    <pageField fld="5" hier="-1"/>
  </pageFields>
  <dataFields count="3">
    <dataField name="Sum of &lt;18 weeks" fld="8" baseField="7" baseItem="0"/>
    <dataField name="Sum of Total" fld="10" baseField="0" baseItem="0"/>
    <dataField name="% waits &lt;18 weeks" fld="11" baseField="7" baseItem="0" numFmtId="4"/>
  </dataFields>
  <formats count="8">
    <format dxfId="12">
      <pivotArea outline="0" collapsedLevelsAreSubtotals="1" fieldPosition="0"/>
    </format>
    <format dxfId="11">
      <pivotArea field="5" type="button" dataOnly="0" labelOnly="1" outline="0" axis="axisPage" fieldPosition="0"/>
    </format>
    <format dxfId="10">
      <pivotArea outline="0" collapsedLevelsAreSubtotals="1" fieldPosition="0"/>
    </format>
    <format dxfId="9">
      <pivotArea dataOnly="0" labelOnly="1" outline="0" fieldPosition="0">
        <references count="1">
          <reference field="4294967294" count="2">
            <x v="0"/>
            <x v="1"/>
          </reference>
        </references>
      </pivotArea>
    </format>
    <format dxfId="8">
      <pivotArea dataOnly="0" labelOnly="1" outline="0" fieldPosition="0">
        <references count="1">
          <reference field="4294967294" count="1">
            <x v="0"/>
          </reference>
        </references>
      </pivotArea>
    </format>
    <format dxfId="7">
      <pivotArea dataOnly="0" labelOnly="1" outline="0" fieldPosition="0">
        <references count="1">
          <reference field="4294967294" count="1">
            <x v="1"/>
          </reference>
        </references>
      </pivotArea>
    </format>
    <format dxfId="6">
      <pivotArea field="5" type="button" dataOnly="0" labelOnly="1" outline="0" axis="axisPage" fieldPosition="0"/>
    </format>
    <format dxfId="5">
      <pivotArea outline="0" collapsedLevelsAreSubtotals="1" fieldPosition="0">
        <references count="1">
          <reference field="4294967294" count="1" selected="0">
            <x v="2"/>
          </reference>
        </references>
      </pivotArea>
    </format>
  </format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issioner_Org_Name" xr10:uid="{ABC0A82C-D963-4A44-BBC5-EF5427F52B1B}" sourceName="Commissioner Org Name">
  <pivotTables>
    <pivotTable tabId="3" name="PivotTable2"/>
  </pivotTables>
  <data>
    <tabular pivotCacheId="1997330401">
      <items count="133">
        <i x="117" s="1"/>
        <i x="9" s="1"/>
        <i x="10" s="1"/>
        <i x="120" s="1"/>
        <i x="11" s="1"/>
        <i x="76" s="1"/>
        <i x="63" s="1"/>
        <i x="128" s="1"/>
        <i x="111" s="1"/>
        <i x="33" s="1"/>
        <i x="31" s="1"/>
        <i x="12" s="1"/>
        <i x="97" s="1"/>
        <i x="90" s="1"/>
        <i x="13" s="1"/>
        <i x="32" s="1"/>
        <i x="84" s="1"/>
        <i x="56" s="1"/>
        <i x="98" s="1"/>
        <i x="88" s="1"/>
        <i x="14" s="1"/>
        <i x="100" s="1"/>
        <i x="77" s="1"/>
        <i x="64" s="1"/>
        <i x="34" s="1"/>
        <i x="7" s="1"/>
        <i x="65" s="1"/>
        <i x="41" s="1"/>
        <i x="15" s="1"/>
        <i x="82" s="1"/>
        <i x="129" s="1"/>
        <i x="78" s="1"/>
        <i x="35" s="1"/>
        <i x="57" s="1"/>
        <i x="101" s="1"/>
        <i x="99" s="1"/>
        <i x="16" s="1"/>
        <i x="132" s="1"/>
        <i x="1" s="1"/>
        <i x="130" s="1"/>
        <i x="121" s="1"/>
        <i x="36" s="1"/>
        <i x="18" s="1"/>
        <i x="102" s="1"/>
        <i x="19" s="1"/>
        <i x="51" s="1"/>
        <i x="20" s="1"/>
        <i x="103" s="1"/>
        <i x="21" s="1"/>
        <i x="66" s="1"/>
        <i x="83" s="1"/>
        <i x="110" s="1"/>
        <i x="22" s="1"/>
        <i x="104" s="1"/>
        <i x="17" s="1"/>
        <i x="2" s="1"/>
        <i x="23" s="1"/>
        <i x="91" s="1"/>
        <i x="24" s="1"/>
        <i x="25" s="1"/>
        <i x="37" s="1"/>
        <i x="79" s="1"/>
        <i x="26" s="1"/>
        <i x="50" s="1"/>
        <i x="85" s="1"/>
        <i x="80" s="1"/>
        <i x="112" s="1"/>
        <i x="45" s="1"/>
        <i x="113" s="1"/>
        <i x="44" s="1"/>
        <i x="52" s="1"/>
        <i x="42" s="1"/>
        <i x="8" s="1"/>
        <i x="0" s="1"/>
        <i x="124" s="1"/>
        <i x="92" s="1"/>
        <i x="105" s="1"/>
        <i x="95" s="1"/>
        <i x="43" s="1"/>
        <i x="53" s="1"/>
        <i x="114" s="1"/>
        <i x="3" s="1"/>
        <i x="27" s="1"/>
        <i x="68" s="1"/>
        <i x="28" s="1"/>
        <i x="38" s="1"/>
        <i x="54" s="1"/>
        <i x="69" s="1"/>
        <i x="39" s="1"/>
        <i x="58" s="1"/>
        <i x="115" s="1"/>
        <i x="70" s="1"/>
        <i x="93" s="1"/>
        <i x="96" s="1"/>
        <i x="59" s="1"/>
        <i x="4" s="1"/>
        <i x="94" s="1"/>
        <i x="106" s="1"/>
        <i x="125" s="1"/>
        <i x="86" s="1"/>
        <i x="116" s="1"/>
        <i x="46" s="1"/>
        <i x="71" s="1"/>
        <i x="72" s="1"/>
        <i x="5" s="1"/>
        <i x="89" s="1"/>
        <i x="55" s="1"/>
        <i x="47" s="1"/>
        <i x="29" s="1"/>
        <i x="60" s="1"/>
        <i x="126" s="1"/>
        <i x="61" s="1"/>
        <i x="108" s="1"/>
        <i x="107" s="1"/>
        <i x="122" s="1"/>
        <i x="62" s="1"/>
        <i x="87" s="1"/>
        <i x="127" s="1"/>
        <i x="40" s="1"/>
        <i x="73" s="1"/>
        <i x="67" s="1"/>
        <i x="48" s="1"/>
        <i x="6" s="1"/>
        <i x="109" s="1"/>
        <i x="81" s="1"/>
        <i x="30" s="1"/>
        <i x="123" s="1"/>
        <i x="118" s="1"/>
        <i x="49" s="1"/>
        <i x="119" s="1"/>
        <i x="74" s="1"/>
        <i x="75" s="1"/>
        <i x="13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issioner_Org_Name1" xr10:uid="{0F03946C-8A1D-4B65-A81F-D4289B503D57}" sourceName="Commissioner Org Name">
  <pivotTables>
    <pivotTable tabId="5" name="PivotTable2"/>
  </pivotTables>
  <data>
    <tabular pivotCacheId="1997330401">
      <items count="133">
        <i x="117" s="1"/>
        <i x="9" s="1"/>
        <i x="10" s="1"/>
        <i x="120" s="1"/>
        <i x="11" s="1"/>
        <i x="76" s="1"/>
        <i x="63" s="1"/>
        <i x="128" s="1"/>
        <i x="111" s="1"/>
        <i x="33" s="1"/>
        <i x="31" s="1"/>
        <i x="12" s="1"/>
        <i x="97" s="1"/>
        <i x="90" s="1"/>
        <i x="13" s="1"/>
        <i x="32" s="1"/>
        <i x="84" s="1"/>
        <i x="56" s="1"/>
        <i x="98" s="1"/>
        <i x="88" s="1"/>
        <i x="14" s="1"/>
        <i x="100" s="1"/>
        <i x="77" s="1"/>
        <i x="64" s="1"/>
        <i x="34" s="1"/>
        <i x="7" s="1"/>
        <i x="65" s="1"/>
        <i x="41" s="1"/>
        <i x="15" s="1"/>
        <i x="82" s="1"/>
        <i x="129" s="1"/>
        <i x="78" s="1"/>
        <i x="35" s="1"/>
        <i x="57" s="1"/>
        <i x="101" s="1"/>
        <i x="99" s="1"/>
        <i x="16" s="1"/>
        <i x="132" s="1"/>
        <i x="1" s="1"/>
        <i x="130" s="1"/>
        <i x="121" s="1"/>
        <i x="36" s="1"/>
        <i x="18" s="1"/>
        <i x="102" s="1"/>
        <i x="19" s="1"/>
        <i x="51" s="1"/>
        <i x="20" s="1"/>
        <i x="103" s="1"/>
        <i x="21" s="1"/>
        <i x="66" s="1"/>
        <i x="83" s="1"/>
        <i x="110" s="1"/>
        <i x="22" s="1"/>
        <i x="104" s="1"/>
        <i x="17" s="1"/>
        <i x="2" s="1"/>
        <i x="23" s="1"/>
        <i x="91" s="1"/>
        <i x="24" s="1"/>
        <i x="25" s="1"/>
        <i x="37" s="1"/>
        <i x="79" s="1"/>
        <i x="26" s="1"/>
        <i x="50" s="1"/>
        <i x="85" s="1"/>
        <i x="80" s="1"/>
        <i x="112" s="1"/>
        <i x="45" s="1"/>
        <i x="113" s="1"/>
        <i x="44" s="1"/>
        <i x="52" s="1"/>
        <i x="42" s="1"/>
        <i x="8" s="1"/>
        <i x="0" s="1"/>
        <i x="124" s="1"/>
        <i x="92" s="1"/>
        <i x="105" s="1"/>
        <i x="95" s="1"/>
        <i x="43" s="1"/>
        <i x="53" s="1"/>
        <i x="114" s="1"/>
        <i x="3" s="1"/>
        <i x="27" s="1"/>
        <i x="68" s="1"/>
        <i x="28" s="1"/>
        <i x="38" s="1"/>
        <i x="54" s="1"/>
        <i x="69" s="1"/>
        <i x="39" s="1"/>
        <i x="58" s="1"/>
        <i x="115" s="1"/>
        <i x="70" s="1"/>
        <i x="93" s="1"/>
        <i x="96" s="1"/>
        <i x="59" s="1"/>
        <i x="4" s="1"/>
        <i x="94" s="1"/>
        <i x="106" s="1"/>
        <i x="125" s="1"/>
        <i x="86" s="1"/>
        <i x="116" s="1"/>
        <i x="46" s="1"/>
        <i x="71" s="1"/>
        <i x="72" s="1"/>
        <i x="5" s="1"/>
        <i x="89" s="1"/>
        <i x="55" s="1"/>
        <i x="47" s="1"/>
        <i x="29" s="1"/>
        <i x="60" s="1"/>
        <i x="126" s="1"/>
        <i x="61" s="1"/>
        <i x="108" s="1"/>
        <i x="107" s="1"/>
        <i x="122" s="1"/>
        <i x="62" s="1"/>
        <i x="87" s="1"/>
        <i x="127" s="1"/>
        <i x="40" s="1"/>
        <i x="73" s="1"/>
        <i x="67" s="1"/>
        <i x="48" s="1"/>
        <i x="6" s="1"/>
        <i x="109" s="1"/>
        <i x="81" s="1"/>
        <i x="30" s="1"/>
        <i x="123" s="1"/>
        <i x="118" s="1"/>
        <i x="49" s="1"/>
        <i x="119" s="1"/>
        <i x="74" s="1"/>
        <i x="75" s="1"/>
        <i x="13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issioner Org Name 1" xr10:uid="{00BB3B7C-8369-44C8-9F00-F6DF12FA9FE1}" cache="Slicer_Commissioner_Org_Name1" caption="Commissioner Org Name"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issioner Org Name" xr10:uid="{1D65B843-6E87-4957-AB93-980B47324268}" cache="Slicer_Commissioner_Org_Name" caption="Commissioner Org Name" style="SlicerStyleLight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C5A28A-D39E-4E3F-B7DA-C45E01BA0725}" name="Table1" displayName="Table1" ref="A1:K516" totalsRowShown="0" headerRowDxfId="4" dataDxfId="3">
  <autoFilter ref="A1:K516" xr:uid="{00000000-0001-0000-0000-000000000000}">
    <filterColumn colId="7">
      <filters>
        <filter val="Cardiology"/>
        <filter val="Cardiothoracic Surgery"/>
        <filter val="Dermatology"/>
        <filter val="Gastroenterology"/>
        <filter val="General Medicine"/>
        <filter val="General Surgery"/>
        <filter val="Geriatric Medicine"/>
        <filter val="Gynaecology"/>
        <filter val="Neurology"/>
        <filter val="Neurosurgery"/>
        <filter val="Other"/>
        <filter val="Plastic Surgery"/>
        <filter val="Rheumatology"/>
        <filter val="Thoracic Medicine"/>
        <filter val="Trauma &amp; Orthopaedics"/>
        <filter val="Urology"/>
      </filters>
    </filterColumn>
  </autoFilter>
  <tableColumns count="11">
    <tableColumn id="1" xr3:uid="{934FEA5B-2B3F-4F3F-BBBD-E8EB90B7F32E}" name="Year"/>
    <tableColumn id="2" xr3:uid="{873BD320-E119-4A0C-8E6B-73C34B53D12B}" name="Period Name"/>
    <tableColumn id="3" xr3:uid="{5659A1F3-7847-4B00-89FF-D6006A020AE6}" name="Provider Org Code"/>
    <tableColumn id="4" xr3:uid="{20088911-704C-4913-9C89-C3EBE2636222}" name="Provider Org Name"/>
    <tableColumn id="5" xr3:uid="{F7190290-4DC1-47F4-A106-36EB6C997833}" name="Commissioner Org Code"/>
    <tableColumn id="6" xr3:uid="{C1C0AD46-A7CD-4688-92BD-D6E50966BCF1}" name="Commissioner Org Name"/>
    <tableColumn id="7" xr3:uid="{845DC4C6-F7E2-4A1A-AB32-986EC75B8B9F}" name="RTT Part Description"/>
    <tableColumn id="8" xr3:uid="{0F78EA1C-B6AF-4575-BC6D-96ED60E9E59D}" name="Treatment Function Name"/>
    <tableColumn id="9" xr3:uid="{F4B568EC-AC8A-4A70-BC29-8687611FE4FA}" name="&lt;18wks" dataDxfId="2"/>
    <tableColumn id="10" xr3:uid="{B34301C7-C0B4-4637-8370-32A32CAFDD4B}" name="&gt;=18wks" dataDxfId="1"/>
    <tableColumn id="11" xr3:uid="{A2856B8C-7531-4905-8285-F241372C0DB7}" name="Total" dataDxfId="0">
      <calculatedColumnFormula>SUM(I2,J2)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CE4E-519D-49F1-BD89-28B72FBEB24C}">
  <sheetPr filterMode="1"/>
  <dimension ref="A1:M539"/>
  <sheetViews>
    <sheetView topLeftCell="E1" zoomScale="115" zoomScaleNormal="115" workbookViewId="0">
      <pane ySplit="1" topLeftCell="A486" activePane="bottomLeft" state="frozen"/>
      <selection pane="bottomLeft" activeCell="I521" sqref="I521"/>
    </sheetView>
  </sheetViews>
  <sheetFormatPr defaultRowHeight="14" x14ac:dyDescent="0.4"/>
  <cols>
    <col min="1" max="1" width="8" bestFit="1" customWidth="1"/>
    <col min="2" max="2" width="15.19921875" bestFit="1" customWidth="1"/>
    <col min="3" max="3" width="20.296875" bestFit="1" customWidth="1"/>
    <col min="4" max="4" width="27.5" bestFit="1" customWidth="1"/>
    <col min="5" max="5" width="26" bestFit="1" customWidth="1"/>
    <col min="6" max="6" width="62.69921875" bestFit="1" customWidth="1"/>
    <col min="7" max="7" width="22" bestFit="1" customWidth="1"/>
    <col min="8" max="8" width="27.5" bestFit="1" customWidth="1"/>
    <col min="9" max="9" width="10.296875" style="1" bestFit="1" customWidth="1"/>
    <col min="10" max="10" width="11.69921875" style="1" bestFit="1" customWidth="1"/>
    <col min="11" max="11" width="8.796875" style="1"/>
  </cols>
  <sheetData>
    <row r="1" spans="1:11" x14ac:dyDescent="0.4">
      <c r="A1" t="s">
        <v>0</v>
      </c>
      <c r="B1" t="s">
        <v>1</v>
      </c>
      <c r="C1" t="s">
        <v>2</v>
      </c>
      <c r="D1" t="s">
        <v>3</v>
      </c>
      <c r="E1" t="s">
        <v>4</v>
      </c>
      <c r="F1" t="s">
        <v>5</v>
      </c>
      <c r="G1" t="s">
        <v>6</v>
      </c>
      <c r="H1" t="s">
        <v>7</v>
      </c>
      <c r="I1" s="1" t="s">
        <v>296</v>
      </c>
      <c r="J1" s="1" t="s">
        <v>297</v>
      </c>
      <c r="K1" s="1" t="s">
        <v>8</v>
      </c>
    </row>
    <row r="2" spans="1:11" x14ac:dyDescent="0.4">
      <c r="A2" t="s">
        <v>9</v>
      </c>
      <c r="B2" t="s">
        <v>10</v>
      </c>
      <c r="C2" t="s">
        <v>11</v>
      </c>
      <c r="D2" t="s">
        <v>12</v>
      </c>
      <c r="E2" t="s">
        <v>13</v>
      </c>
      <c r="F2" t="s">
        <v>14</v>
      </c>
      <c r="G2" t="s">
        <v>16</v>
      </c>
      <c r="H2" t="s">
        <v>17</v>
      </c>
      <c r="I2" s="1">
        <v>1</v>
      </c>
      <c r="J2" s="1">
        <v>0</v>
      </c>
      <c r="K2" s="1">
        <f>SUM(I2,J2)</f>
        <v>1</v>
      </c>
    </row>
    <row r="3" spans="1:11" x14ac:dyDescent="0.4">
      <c r="A3" t="s">
        <v>9</v>
      </c>
      <c r="B3" t="s">
        <v>10</v>
      </c>
      <c r="C3" t="s">
        <v>11</v>
      </c>
      <c r="D3" t="s">
        <v>12</v>
      </c>
      <c r="E3" t="s">
        <v>13</v>
      </c>
      <c r="F3" t="s">
        <v>14</v>
      </c>
      <c r="G3" t="s">
        <v>16</v>
      </c>
      <c r="H3" t="s">
        <v>18</v>
      </c>
      <c r="I3" s="1">
        <v>0</v>
      </c>
      <c r="J3" s="1">
        <v>1</v>
      </c>
      <c r="K3" s="1">
        <f t="shared" ref="K3:K66" si="0">SUM(I3,J3)</f>
        <v>1</v>
      </c>
    </row>
    <row r="4" spans="1:11" hidden="1" x14ac:dyDescent="0.4">
      <c r="A4" t="s">
        <v>9</v>
      </c>
      <c r="B4" t="s">
        <v>10</v>
      </c>
      <c r="C4" t="s">
        <v>11</v>
      </c>
      <c r="D4" t="s">
        <v>12</v>
      </c>
      <c r="E4" t="s">
        <v>13</v>
      </c>
      <c r="F4" t="s">
        <v>14</v>
      </c>
      <c r="G4" t="s">
        <v>16</v>
      </c>
      <c r="H4" t="s">
        <v>8</v>
      </c>
      <c r="I4" s="1">
        <v>1</v>
      </c>
      <c r="J4" s="1">
        <v>1</v>
      </c>
      <c r="K4" s="1">
        <f t="shared" si="0"/>
        <v>2</v>
      </c>
    </row>
    <row r="5" spans="1:11" x14ac:dyDescent="0.4">
      <c r="A5" t="s">
        <v>9</v>
      </c>
      <c r="B5" t="s">
        <v>10</v>
      </c>
      <c r="C5" t="s">
        <v>11</v>
      </c>
      <c r="D5" t="s">
        <v>12</v>
      </c>
      <c r="E5" t="s">
        <v>19</v>
      </c>
      <c r="F5" t="s">
        <v>20</v>
      </c>
      <c r="G5" t="s">
        <v>16</v>
      </c>
      <c r="H5" t="s">
        <v>17</v>
      </c>
      <c r="I5" s="1">
        <v>3</v>
      </c>
      <c r="J5" s="1">
        <v>1</v>
      </c>
      <c r="K5" s="1">
        <f t="shared" si="0"/>
        <v>4</v>
      </c>
    </row>
    <row r="6" spans="1:11" hidden="1" x14ac:dyDescent="0.4">
      <c r="A6" t="s">
        <v>9</v>
      </c>
      <c r="B6" t="s">
        <v>10</v>
      </c>
      <c r="C6" t="s">
        <v>11</v>
      </c>
      <c r="D6" t="s">
        <v>12</v>
      </c>
      <c r="E6" t="s">
        <v>19</v>
      </c>
      <c r="F6" t="s">
        <v>20</v>
      </c>
      <c r="G6" t="s">
        <v>16</v>
      </c>
      <c r="H6" t="s">
        <v>8</v>
      </c>
      <c r="I6" s="1">
        <v>3</v>
      </c>
      <c r="J6" s="1">
        <v>1</v>
      </c>
      <c r="K6" s="1">
        <f t="shared" si="0"/>
        <v>4</v>
      </c>
    </row>
    <row r="7" spans="1:11" hidden="1" x14ac:dyDescent="0.4">
      <c r="A7" t="s">
        <v>9</v>
      </c>
      <c r="B7" t="s">
        <v>10</v>
      </c>
      <c r="C7" t="s">
        <v>11</v>
      </c>
      <c r="D7" t="s">
        <v>12</v>
      </c>
      <c r="E7" t="s">
        <v>21</v>
      </c>
      <c r="F7" t="s">
        <v>22</v>
      </c>
      <c r="G7" t="s">
        <v>16</v>
      </c>
      <c r="H7" t="s">
        <v>8</v>
      </c>
      <c r="I7" s="1">
        <v>1</v>
      </c>
      <c r="J7" s="1">
        <v>0</v>
      </c>
      <c r="K7" s="1">
        <f t="shared" si="0"/>
        <v>1</v>
      </c>
    </row>
    <row r="8" spans="1:11" x14ac:dyDescent="0.4">
      <c r="A8" t="s">
        <v>9</v>
      </c>
      <c r="B8" t="s">
        <v>10</v>
      </c>
      <c r="C8" t="s">
        <v>11</v>
      </c>
      <c r="D8" t="s">
        <v>12</v>
      </c>
      <c r="E8" t="s">
        <v>21</v>
      </c>
      <c r="F8" t="s">
        <v>22</v>
      </c>
      <c r="G8" t="s">
        <v>16</v>
      </c>
      <c r="H8" t="s">
        <v>23</v>
      </c>
      <c r="I8" s="1">
        <v>1</v>
      </c>
      <c r="J8" s="1">
        <v>0</v>
      </c>
      <c r="K8" s="1">
        <f t="shared" si="0"/>
        <v>1</v>
      </c>
    </row>
    <row r="9" spans="1:11" x14ac:dyDescent="0.4">
      <c r="A9" t="s">
        <v>9</v>
      </c>
      <c r="B9" t="s">
        <v>10</v>
      </c>
      <c r="C9" t="s">
        <v>11</v>
      </c>
      <c r="D9" t="s">
        <v>12</v>
      </c>
      <c r="E9" t="s">
        <v>24</v>
      </c>
      <c r="F9" t="s">
        <v>25</v>
      </c>
      <c r="G9" t="s">
        <v>16</v>
      </c>
      <c r="H9" t="s">
        <v>17</v>
      </c>
      <c r="I9" s="1">
        <v>0</v>
      </c>
      <c r="J9" s="1">
        <v>2</v>
      </c>
      <c r="K9" s="1">
        <f t="shared" si="0"/>
        <v>2</v>
      </c>
    </row>
    <row r="10" spans="1:11" x14ac:dyDescent="0.4">
      <c r="A10" t="s">
        <v>9</v>
      </c>
      <c r="B10" t="s">
        <v>10</v>
      </c>
      <c r="C10" t="s">
        <v>11</v>
      </c>
      <c r="D10" t="s">
        <v>12</v>
      </c>
      <c r="E10" t="s">
        <v>24</v>
      </c>
      <c r="F10" t="s">
        <v>25</v>
      </c>
      <c r="G10" t="s">
        <v>16</v>
      </c>
      <c r="H10" t="s">
        <v>15</v>
      </c>
      <c r="I10" s="1">
        <v>0</v>
      </c>
      <c r="J10" s="1">
        <v>1</v>
      </c>
      <c r="K10" s="1">
        <f t="shared" si="0"/>
        <v>1</v>
      </c>
    </row>
    <row r="11" spans="1:11" hidden="1" x14ac:dyDescent="0.4">
      <c r="A11" t="s">
        <v>9</v>
      </c>
      <c r="B11" t="s">
        <v>10</v>
      </c>
      <c r="C11" t="s">
        <v>11</v>
      </c>
      <c r="D11" t="s">
        <v>12</v>
      </c>
      <c r="E11" t="s">
        <v>24</v>
      </c>
      <c r="F11" t="s">
        <v>25</v>
      </c>
      <c r="G11" t="s">
        <v>16</v>
      </c>
      <c r="H11" t="s">
        <v>8</v>
      </c>
      <c r="I11" s="1">
        <v>2</v>
      </c>
      <c r="J11" s="1">
        <v>3</v>
      </c>
      <c r="K11" s="1">
        <f t="shared" si="0"/>
        <v>5</v>
      </c>
    </row>
    <row r="12" spans="1:11" x14ac:dyDescent="0.4">
      <c r="A12" t="s">
        <v>9</v>
      </c>
      <c r="B12" t="s">
        <v>10</v>
      </c>
      <c r="C12" t="s">
        <v>11</v>
      </c>
      <c r="D12" t="s">
        <v>12</v>
      </c>
      <c r="E12" t="s">
        <v>24</v>
      </c>
      <c r="F12" t="s">
        <v>25</v>
      </c>
      <c r="G12" t="s">
        <v>16</v>
      </c>
      <c r="H12" t="s">
        <v>23</v>
      </c>
      <c r="I12" s="1">
        <v>2</v>
      </c>
      <c r="J12" s="1">
        <v>0</v>
      </c>
      <c r="K12" s="1">
        <f t="shared" si="0"/>
        <v>2</v>
      </c>
    </row>
    <row r="13" spans="1:11" x14ac:dyDescent="0.4">
      <c r="A13" t="s">
        <v>9</v>
      </c>
      <c r="B13" t="s">
        <v>10</v>
      </c>
      <c r="C13" t="s">
        <v>11</v>
      </c>
      <c r="D13" t="s">
        <v>12</v>
      </c>
      <c r="E13" t="s">
        <v>26</v>
      </c>
      <c r="F13" t="s">
        <v>27</v>
      </c>
      <c r="G13" t="s">
        <v>16</v>
      </c>
      <c r="H13" t="s">
        <v>17</v>
      </c>
      <c r="I13" s="1">
        <v>1</v>
      </c>
      <c r="J13" s="1">
        <v>1</v>
      </c>
      <c r="K13" s="1">
        <f t="shared" si="0"/>
        <v>2</v>
      </c>
    </row>
    <row r="14" spans="1:11" x14ac:dyDescent="0.4">
      <c r="A14" t="s">
        <v>9</v>
      </c>
      <c r="B14" t="s">
        <v>10</v>
      </c>
      <c r="C14" t="s">
        <v>11</v>
      </c>
      <c r="D14" t="s">
        <v>12</v>
      </c>
      <c r="E14" t="s">
        <v>26</v>
      </c>
      <c r="F14" t="s">
        <v>27</v>
      </c>
      <c r="G14" t="s">
        <v>16</v>
      </c>
      <c r="H14" t="s">
        <v>18</v>
      </c>
      <c r="I14" s="1">
        <v>1</v>
      </c>
      <c r="J14" s="1">
        <v>0</v>
      </c>
      <c r="K14" s="1">
        <f t="shared" si="0"/>
        <v>1</v>
      </c>
    </row>
    <row r="15" spans="1:11" hidden="1" x14ac:dyDescent="0.4">
      <c r="A15" t="s">
        <v>9</v>
      </c>
      <c r="B15" t="s">
        <v>10</v>
      </c>
      <c r="C15" t="s">
        <v>11</v>
      </c>
      <c r="D15" t="s">
        <v>12</v>
      </c>
      <c r="E15" t="s">
        <v>26</v>
      </c>
      <c r="F15" t="s">
        <v>27</v>
      </c>
      <c r="G15" t="s">
        <v>16</v>
      </c>
      <c r="H15" t="s">
        <v>8</v>
      </c>
      <c r="I15" s="1">
        <v>3</v>
      </c>
      <c r="J15" s="1">
        <v>1</v>
      </c>
      <c r="K15" s="1">
        <f t="shared" si="0"/>
        <v>4</v>
      </c>
    </row>
    <row r="16" spans="1:11" x14ac:dyDescent="0.4">
      <c r="A16" t="s">
        <v>9</v>
      </c>
      <c r="B16" t="s">
        <v>10</v>
      </c>
      <c r="C16" t="s">
        <v>11</v>
      </c>
      <c r="D16" t="s">
        <v>12</v>
      </c>
      <c r="E16" t="s">
        <v>26</v>
      </c>
      <c r="F16" t="s">
        <v>27</v>
      </c>
      <c r="G16" t="s">
        <v>16</v>
      </c>
      <c r="H16" t="s">
        <v>23</v>
      </c>
      <c r="I16" s="1">
        <v>1</v>
      </c>
      <c r="J16" s="1">
        <v>0</v>
      </c>
      <c r="K16" s="1">
        <f t="shared" si="0"/>
        <v>1</v>
      </c>
    </row>
    <row r="17" spans="1:11" x14ac:dyDescent="0.4">
      <c r="A17" t="s">
        <v>9</v>
      </c>
      <c r="B17" t="s">
        <v>10</v>
      </c>
      <c r="C17" t="s">
        <v>11</v>
      </c>
      <c r="D17" t="s">
        <v>12</v>
      </c>
      <c r="E17" t="s">
        <v>29</v>
      </c>
      <c r="F17" t="s">
        <v>30</v>
      </c>
      <c r="G17" t="s">
        <v>16</v>
      </c>
      <c r="H17" t="s">
        <v>31</v>
      </c>
      <c r="I17" s="1">
        <v>1</v>
      </c>
      <c r="J17" s="1">
        <v>0</v>
      </c>
      <c r="K17" s="1">
        <f t="shared" si="0"/>
        <v>1</v>
      </c>
    </row>
    <row r="18" spans="1:11" x14ac:dyDescent="0.4">
      <c r="A18" t="s">
        <v>9</v>
      </c>
      <c r="B18" t="s">
        <v>10</v>
      </c>
      <c r="C18" t="s">
        <v>11</v>
      </c>
      <c r="D18" t="s">
        <v>12</v>
      </c>
      <c r="E18" t="s">
        <v>29</v>
      </c>
      <c r="F18" t="s">
        <v>30</v>
      </c>
      <c r="G18" t="s">
        <v>16</v>
      </c>
      <c r="H18" t="s">
        <v>18</v>
      </c>
      <c r="I18" s="1">
        <v>0</v>
      </c>
      <c r="J18" s="1">
        <v>1</v>
      </c>
      <c r="K18" s="1">
        <f t="shared" si="0"/>
        <v>1</v>
      </c>
    </row>
    <row r="19" spans="1:11" hidden="1" x14ac:dyDescent="0.4">
      <c r="A19" t="s">
        <v>9</v>
      </c>
      <c r="B19" t="s">
        <v>10</v>
      </c>
      <c r="C19" t="s">
        <v>11</v>
      </c>
      <c r="D19" t="s">
        <v>12</v>
      </c>
      <c r="E19" t="s">
        <v>29</v>
      </c>
      <c r="F19" t="s">
        <v>30</v>
      </c>
      <c r="G19" t="s">
        <v>16</v>
      </c>
      <c r="H19" t="s">
        <v>8</v>
      </c>
      <c r="I19" s="1">
        <v>1</v>
      </c>
      <c r="J19" s="1">
        <v>2</v>
      </c>
      <c r="K19" s="1">
        <f t="shared" si="0"/>
        <v>3</v>
      </c>
    </row>
    <row r="20" spans="1:11" x14ac:dyDescent="0.4">
      <c r="A20" t="s">
        <v>9</v>
      </c>
      <c r="B20" t="s">
        <v>10</v>
      </c>
      <c r="C20" t="s">
        <v>11</v>
      </c>
      <c r="D20" t="s">
        <v>12</v>
      </c>
      <c r="E20" t="s">
        <v>29</v>
      </c>
      <c r="F20" t="s">
        <v>30</v>
      </c>
      <c r="G20" t="s">
        <v>16</v>
      </c>
      <c r="H20" t="s">
        <v>23</v>
      </c>
      <c r="I20" s="1">
        <v>0</v>
      </c>
      <c r="J20" s="1">
        <v>1</v>
      </c>
      <c r="K20" s="1">
        <f t="shared" si="0"/>
        <v>1</v>
      </c>
    </row>
    <row r="21" spans="1:11" x14ac:dyDescent="0.4">
      <c r="A21" t="s">
        <v>9</v>
      </c>
      <c r="B21" t="s">
        <v>10</v>
      </c>
      <c r="C21" t="s">
        <v>11</v>
      </c>
      <c r="D21" t="s">
        <v>12</v>
      </c>
      <c r="E21" t="s">
        <v>32</v>
      </c>
      <c r="F21" t="s">
        <v>33</v>
      </c>
      <c r="G21" t="s">
        <v>16</v>
      </c>
      <c r="H21" t="s">
        <v>34</v>
      </c>
      <c r="I21" s="1">
        <v>1</v>
      </c>
      <c r="J21" s="1">
        <v>0</v>
      </c>
      <c r="K21" s="1">
        <f t="shared" si="0"/>
        <v>1</v>
      </c>
    </row>
    <row r="22" spans="1:11" x14ac:dyDescent="0.4">
      <c r="A22" t="s">
        <v>9</v>
      </c>
      <c r="B22" t="s">
        <v>10</v>
      </c>
      <c r="C22" t="s">
        <v>11</v>
      </c>
      <c r="D22" t="s">
        <v>12</v>
      </c>
      <c r="E22" t="s">
        <v>32</v>
      </c>
      <c r="F22" t="s">
        <v>33</v>
      </c>
      <c r="G22" t="s">
        <v>16</v>
      </c>
      <c r="H22" t="s">
        <v>17</v>
      </c>
      <c r="I22" s="1">
        <v>2</v>
      </c>
      <c r="J22" s="1">
        <v>1</v>
      </c>
      <c r="K22" s="1">
        <f t="shared" si="0"/>
        <v>3</v>
      </c>
    </row>
    <row r="23" spans="1:11" x14ac:dyDescent="0.4">
      <c r="A23" t="s">
        <v>9</v>
      </c>
      <c r="B23" t="s">
        <v>10</v>
      </c>
      <c r="C23" t="s">
        <v>11</v>
      </c>
      <c r="D23" t="s">
        <v>12</v>
      </c>
      <c r="E23" t="s">
        <v>32</v>
      </c>
      <c r="F23" t="s">
        <v>33</v>
      </c>
      <c r="G23" t="s">
        <v>16</v>
      </c>
      <c r="H23" t="s">
        <v>15</v>
      </c>
      <c r="I23" s="1">
        <v>4</v>
      </c>
      <c r="J23" s="1">
        <v>1</v>
      </c>
      <c r="K23" s="1">
        <f t="shared" si="0"/>
        <v>5</v>
      </c>
    </row>
    <row r="24" spans="1:11" x14ac:dyDescent="0.4">
      <c r="A24" t="s">
        <v>9</v>
      </c>
      <c r="B24" t="s">
        <v>10</v>
      </c>
      <c r="C24" t="s">
        <v>11</v>
      </c>
      <c r="D24" t="s">
        <v>12</v>
      </c>
      <c r="E24" t="s">
        <v>32</v>
      </c>
      <c r="F24" t="s">
        <v>33</v>
      </c>
      <c r="G24" t="s">
        <v>16</v>
      </c>
      <c r="H24" t="s">
        <v>18</v>
      </c>
      <c r="I24" s="1">
        <v>1</v>
      </c>
      <c r="J24" s="1">
        <v>0</v>
      </c>
      <c r="K24" s="1">
        <f t="shared" si="0"/>
        <v>1</v>
      </c>
    </row>
    <row r="25" spans="1:11" hidden="1" x14ac:dyDescent="0.4">
      <c r="A25" t="s">
        <v>9</v>
      </c>
      <c r="B25" t="s">
        <v>10</v>
      </c>
      <c r="C25" t="s">
        <v>11</v>
      </c>
      <c r="D25" t="s">
        <v>12</v>
      </c>
      <c r="E25" t="s">
        <v>32</v>
      </c>
      <c r="F25" t="s">
        <v>33</v>
      </c>
      <c r="G25" t="s">
        <v>16</v>
      </c>
      <c r="H25" t="s">
        <v>8</v>
      </c>
      <c r="I25" s="1">
        <v>9</v>
      </c>
      <c r="J25" s="1">
        <v>3</v>
      </c>
      <c r="K25" s="1">
        <f t="shared" si="0"/>
        <v>12</v>
      </c>
    </row>
    <row r="26" spans="1:11" x14ac:dyDescent="0.4">
      <c r="A26" t="s">
        <v>9</v>
      </c>
      <c r="B26" t="s">
        <v>10</v>
      </c>
      <c r="C26" t="s">
        <v>11</v>
      </c>
      <c r="D26" t="s">
        <v>12</v>
      </c>
      <c r="E26" t="s">
        <v>32</v>
      </c>
      <c r="F26" t="s">
        <v>33</v>
      </c>
      <c r="G26" t="s">
        <v>16</v>
      </c>
      <c r="H26" t="s">
        <v>23</v>
      </c>
      <c r="I26" s="1">
        <v>1</v>
      </c>
      <c r="J26" s="1">
        <v>1</v>
      </c>
      <c r="K26" s="1">
        <f t="shared" si="0"/>
        <v>2</v>
      </c>
    </row>
    <row r="27" spans="1:11" x14ac:dyDescent="0.4">
      <c r="A27" t="s">
        <v>9</v>
      </c>
      <c r="B27" t="s">
        <v>10</v>
      </c>
      <c r="C27" t="s">
        <v>11</v>
      </c>
      <c r="D27" t="s">
        <v>12</v>
      </c>
      <c r="E27" t="s">
        <v>35</v>
      </c>
      <c r="F27" t="s">
        <v>36</v>
      </c>
      <c r="G27" t="s">
        <v>16</v>
      </c>
      <c r="H27" t="s">
        <v>37</v>
      </c>
      <c r="I27" s="1">
        <v>1</v>
      </c>
      <c r="J27" s="1">
        <v>0</v>
      </c>
      <c r="K27" s="1">
        <f t="shared" si="0"/>
        <v>1</v>
      </c>
    </row>
    <row r="28" spans="1:11" x14ac:dyDescent="0.4">
      <c r="A28" t="s">
        <v>9</v>
      </c>
      <c r="B28" t="s">
        <v>10</v>
      </c>
      <c r="C28" t="s">
        <v>11</v>
      </c>
      <c r="D28" t="s">
        <v>12</v>
      </c>
      <c r="E28" t="s">
        <v>35</v>
      </c>
      <c r="F28" t="s">
        <v>36</v>
      </c>
      <c r="G28" t="s">
        <v>16</v>
      </c>
      <c r="H28" t="s">
        <v>34</v>
      </c>
      <c r="I28" s="1">
        <v>4</v>
      </c>
      <c r="J28" s="1">
        <v>1</v>
      </c>
      <c r="K28" s="1">
        <f t="shared" si="0"/>
        <v>5</v>
      </c>
    </row>
    <row r="29" spans="1:11" x14ac:dyDescent="0.4">
      <c r="A29" t="s">
        <v>9</v>
      </c>
      <c r="B29" t="s">
        <v>10</v>
      </c>
      <c r="C29" t="s">
        <v>11</v>
      </c>
      <c r="D29" t="s">
        <v>12</v>
      </c>
      <c r="E29" t="s">
        <v>35</v>
      </c>
      <c r="F29" t="s">
        <v>36</v>
      </c>
      <c r="G29" t="s">
        <v>16</v>
      </c>
      <c r="H29" t="s">
        <v>17</v>
      </c>
      <c r="I29" s="1">
        <v>8</v>
      </c>
      <c r="J29" s="1">
        <v>3</v>
      </c>
      <c r="K29" s="1">
        <f t="shared" si="0"/>
        <v>11</v>
      </c>
    </row>
    <row r="30" spans="1:11" x14ac:dyDescent="0.4">
      <c r="A30" t="s">
        <v>9</v>
      </c>
      <c r="B30" t="s">
        <v>10</v>
      </c>
      <c r="C30" t="s">
        <v>11</v>
      </c>
      <c r="D30" t="s">
        <v>12</v>
      </c>
      <c r="E30" t="s">
        <v>35</v>
      </c>
      <c r="F30" t="s">
        <v>36</v>
      </c>
      <c r="G30" t="s">
        <v>16</v>
      </c>
      <c r="H30" t="s">
        <v>15</v>
      </c>
      <c r="I30" s="1">
        <v>8</v>
      </c>
      <c r="J30" s="1">
        <v>3</v>
      </c>
      <c r="K30" s="1">
        <f t="shared" si="0"/>
        <v>11</v>
      </c>
    </row>
    <row r="31" spans="1:11" x14ac:dyDescent="0.4">
      <c r="A31" t="s">
        <v>9</v>
      </c>
      <c r="B31" t="s">
        <v>10</v>
      </c>
      <c r="C31" t="s">
        <v>11</v>
      </c>
      <c r="D31" t="s">
        <v>12</v>
      </c>
      <c r="E31" t="s">
        <v>35</v>
      </c>
      <c r="F31" t="s">
        <v>36</v>
      </c>
      <c r="G31" t="s">
        <v>16</v>
      </c>
      <c r="H31" t="s">
        <v>38</v>
      </c>
      <c r="I31" s="1">
        <v>8</v>
      </c>
      <c r="J31" s="1">
        <v>1</v>
      </c>
      <c r="K31" s="1">
        <f t="shared" si="0"/>
        <v>9</v>
      </c>
    </row>
    <row r="32" spans="1:11" x14ac:dyDescent="0.4">
      <c r="A32" t="s">
        <v>9</v>
      </c>
      <c r="B32" t="s">
        <v>10</v>
      </c>
      <c r="C32" t="s">
        <v>11</v>
      </c>
      <c r="D32" t="s">
        <v>12</v>
      </c>
      <c r="E32" t="s">
        <v>35</v>
      </c>
      <c r="F32" t="s">
        <v>36</v>
      </c>
      <c r="G32" t="s">
        <v>16</v>
      </c>
      <c r="H32" t="s">
        <v>39</v>
      </c>
      <c r="I32" s="1">
        <v>3</v>
      </c>
      <c r="J32" s="1">
        <v>1</v>
      </c>
      <c r="K32" s="1">
        <f t="shared" si="0"/>
        <v>4</v>
      </c>
    </row>
    <row r="33" spans="1:11" x14ac:dyDescent="0.4">
      <c r="A33" t="s">
        <v>9</v>
      </c>
      <c r="B33" t="s">
        <v>10</v>
      </c>
      <c r="C33" t="s">
        <v>11</v>
      </c>
      <c r="D33" t="s">
        <v>12</v>
      </c>
      <c r="E33" t="s">
        <v>35</v>
      </c>
      <c r="F33" t="s">
        <v>36</v>
      </c>
      <c r="G33" t="s">
        <v>16</v>
      </c>
      <c r="H33" t="s">
        <v>31</v>
      </c>
      <c r="I33" s="1">
        <v>3</v>
      </c>
      <c r="J33" s="1">
        <v>0</v>
      </c>
      <c r="K33" s="1">
        <f t="shared" si="0"/>
        <v>3</v>
      </c>
    </row>
    <row r="34" spans="1:11" x14ac:dyDescent="0.4">
      <c r="A34" t="s">
        <v>9</v>
      </c>
      <c r="B34" t="s">
        <v>10</v>
      </c>
      <c r="C34" t="s">
        <v>11</v>
      </c>
      <c r="D34" t="s">
        <v>12</v>
      </c>
      <c r="E34" t="s">
        <v>35</v>
      </c>
      <c r="F34" t="s">
        <v>36</v>
      </c>
      <c r="G34" t="s">
        <v>16</v>
      </c>
      <c r="H34" t="s">
        <v>40</v>
      </c>
      <c r="I34" s="1">
        <v>1</v>
      </c>
      <c r="J34" s="1">
        <v>0</v>
      </c>
      <c r="K34" s="1">
        <f t="shared" si="0"/>
        <v>1</v>
      </c>
    </row>
    <row r="35" spans="1:11" hidden="1" x14ac:dyDescent="0.4">
      <c r="A35" t="s">
        <v>9</v>
      </c>
      <c r="B35" t="s">
        <v>10</v>
      </c>
      <c r="C35" t="s">
        <v>11</v>
      </c>
      <c r="D35" t="s">
        <v>12</v>
      </c>
      <c r="E35" t="s">
        <v>35</v>
      </c>
      <c r="F35" t="s">
        <v>36</v>
      </c>
      <c r="G35" t="s">
        <v>16</v>
      </c>
      <c r="H35" t="s">
        <v>8</v>
      </c>
      <c r="I35" s="1">
        <v>47</v>
      </c>
      <c r="J35" s="1">
        <v>13</v>
      </c>
      <c r="K35" s="1">
        <f t="shared" si="0"/>
        <v>60</v>
      </c>
    </row>
    <row r="36" spans="1:11" x14ac:dyDescent="0.4">
      <c r="A36" t="s">
        <v>9</v>
      </c>
      <c r="B36" t="s">
        <v>10</v>
      </c>
      <c r="C36" t="s">
        <v>11</v>
      </c>
      <c r="D36" t="s">
        <v>12</v>
      </c>
      <c r="E36" t="s">
        <v>35</v>
      </c>
      <c r="F36" t="s">
        <v>36</v>
      </c>
      <c r="G36" t="s">
        <v>16</v>
      </c>
      <c r="H36" t="s">
        <v>23</v>
      </c>
      <c r="I36" s="1">
        <v>11</v>
      </c>
      <c r="J36" s="1">
        <v>4</v>
      </c>
      <c r="K36" s="1">
        <f t="shared" si="0"/>
        <v>15</v>
      </c>
    </row>
    <row r="37" spans="1:11" x14ac:dyDescent="0.4">
      <c r="A37" t="s">
        <v>9</v>
      </c>
      <c r="B37" t="s">
        <v>10</v>
      </c>
      <c r="C37" t="s">
        <v>11</v>
      </c>
      <c r="D37" t="s">
        <v>12</v>
      </c>
      <c r="E37" t="s">
        <v>41</v>
      </c>
      <c r="F37" t="s">
        <v>42</v>
      </c>
      <c r="G37" t="s">
        <v>16</v>
      </c>
      <c r="H37" t="s">
        <v>17</v>
      </c>
      <c r="I37" s="1">
        <v>1</v>
      </c>
      <c r="J37" s="1">
        <v>1</v>
      </c>
      <c r="K37" s="1">
        <f t="shared" si="0"/>
        <v>2</v>
      </c>
    </row>
    <row r="38" spans="1:11" hidden="1" x14ac:dyDescent="0.4">
      <c r="A38" t="s">
        <v>9</v>
      </c>
      <c r="B38" t="s">
        <v>10</v>
      </c>
      <c r="C38" t="s">
        <v>11</v>
      </c>
      <c r="D38" t="s">
        <v>12</v>
      </c>
      <c r="E38" t="s">
        <v>41</v>
      </c>
      <c r="F38" t="s">
        <v>42</v>
      </c>
      <c r="G38" t="s">
        <v>16</v>
      </c>
      <c r="H38" t="s">
        <v>8</v>
      </c>
      <c r="I38" s="1">
        <v>1</v>
      </c>
      <c r="J38" s="1">
        <v>1</v>
      </c>
      <c r="K38" s="1">
        <f t="shared" si="0"/>
        <v>2</v>
      </c>
    </row>
    <row r="39" spans="1:11" x14ac:dyDescent="0.4">
      <c r="A39" t="s">
        <v>9</v>
      </c>
      <c r="B39" t="s">
        <v>10</v>
      </c>
      <c r="C39" t="s">
        <v>11</v>
      </c>
      <c r="D39" t="s">
        <v>12</v>
      </c>
      <c r="E39" t="s">
        <v>43</v>
      </c>
      <c r="F39" t="s">
        <v>44</v>
      </c>
      <c r="G39" t="s">
        <v>16</v>
      </c>
      <c r="H39" t="s">
        <v>17</v>
      </c>
      <c r="I39" s="1">
        <v>1</v>
      </c>
      <c r="J39" s="1">
        <v>0</v>
      </c>
      <c r="K39" s="1">
        <f t="shared" si="0"/>
        <v>1</v>
      </c>
    </row>
    <row r="40" spans="1:11" x14ac:dyDescent="0.4">
      <c r="A40" t="s">
        <v>9</v>
      </c>
      <c r="B40" t="s">
        <v>10</v>
      </c>
      <c r="C40" t="s">
        <v>11</v>
      </c>
      <c r="D40" t="s">
        <v>12</v>
      </c>
      <c r="E40" t="s">
        <v>43</v>
      </c>
      <c r="F40" t="s">
        <v>44</v>
      </c>
      <c r="G40" t="s">
        <v>16</v>
      </c>
      <c r="H40" t="s">
        <v>15</v>
      </c>
      <c r="I40" s="1">
        <v>1</v>
      </c>
      <c r="J40" s="1">
        <v>0</v>
      </c>
      <c r="K40" s="1">
        <f t="shared" si="0"/>
        <v>1</v>
      </c>
    </row>
    <row r="41" spans="1:11" x14ac:dyDescent="0.4">
      <c r="A41" t="s">
        <v>9</v>
      </c>
      <c r="B41" t="s">
        <v>10</v>
      </c>
      <c r="C41" t="s">
        <v>11</v>
      </c>
      <c r="D41" t="s">
        <v>12</v>
      </c>
      <c r="E41" t="s">
        <v>43</v>
      </c>
      <c r="F41" t="s">
        <v>44</v>
      </c>
      <c r="G41" t="s">
        <v>16</v>
      </c>
      <c r="H41" t="s">
        <v>18</v>
      </c>
      <c r="I41" s="1">
        <v>0</v>
      </c>
      <c r="J41" s="1">
        <v>1</v>
      </c>
      <c r="K41" s="1">
        <f t="shared" si="0"/>
        <v>1</v>
      </c>
    </row>
    <row r="42" spans="1:11" hidden="1" x14ac:dyDescent="0.4">
      <c r="A42" t="s">
        <v>9</v>
      </c>
      <c r="B42" t="s">
        <v>10</v>
      </c>
      <c r="C42" t="s">
        <v>11</v>
      </c>
      <c r="D42" t="s">
        <v>12</v>
      </c>
      <c r="E42" t="s">
        <v>43</v>
      </c>
      <c r="F42" t="s">
        <v>44</v>
      </c>
      <c r="G42" t="s">
        <v>16</v>
      </c>
      <c r="H42" t="s">
        <v>8</v>
      </c>
      <c r="I42" s="1">
        <v>2</v>
      </c>
      <c r="J42" s="1">
        <v>1</v>
      </c>
      <c r="K42" s="1">
        <f t="shared" si="0"/>
        <v>3</v>
      </c>
    </row>
    <row r="43" spans="1:11" x14ac:dyDescent="0.4">
      <c r="A43" t="s">
        <v>9</v>
      </c>
      <c r="B43" t="s">
        <v>10</v>
      </c>
      <c r="C43" t="s">
        <v>11</v>
      </c>
      <c r="D43" t="s">
        <v>12</v>
      </c>
      <c r="E43" t="s">
        <v>45</v>
      </c>
      <c r="F43" t="s">
        <v>46</v>
      </c>
      <c r="G43" t="s">
        <v>16</v>
      </c>
      <c r="H43" t="s">
        <v>15</v>
      </c>
      <c r="I43" s="1">
        <v>1</v>
      </c>
      <c r="J43" s="1">
        <v>0</v>
      </c>
      <c r="K43" s="1">
        <f t="shared" si="0"/>
        <v>1</v>
      </c>
    </row>
    <row r="44" spans="1:11" hidden="1" x14ac:dyDescent="0.4">
      <c r="A44" t="s">
        <v>9</v>
      </c>
      <c r="B44" t="s">
        <v>10</v>
      </c>
      <c r="C44" t="s">
        <v>11</v>
      </c>
      <c r="D44" t="s">
        <v>12</v>
      </c>
      <c r="E44" t="s">
        <v>45</v>
      </c>
      <c r="F44" t="s">
        <v>46</v>
      </c>
      <c r="G44" t="s">
        <v>16</v>
      </c>
      <c r="H44" t="s">
        <v>8</v>
      </c>
      <c r="I44" s="1">
        <v>1</v>
      </c>
      <c r="J44" s="1">
        <v>0</v>
      </c>
      <c r="K44" s="1">
        <f t="shared" si="0"/>
        <v>1</v>
      </c>
    </row>
    <row r="45" spans="1:11" x14ac:dyDescent="0.4">
      <c r="A45" t="s">
        <v>9</v>
      </c>
      <c r="B45" t="s">
        <v>10</v>
      </c>
      <c r="C45" t="s">
        <v>11</v>
      </c>
      <c r="D45" t="s">
        <v>12</v>
      </c>
      <c r="E45" t="s">
        <v>47</v>
      </c>
      <c r="F45" t="s">
        <v>48</v>
      </c>
      <c r="G45" t="s">
        <v>16</v>
      </c>
      <c r="H45" t="s">
        <v>17</v>
      </c>
      <c r="I45" s="1">
        <v>0</v>
      </c>
      <c r="J45" s="1">
        <v>1</v>
      </c>
      <c r="K45" s="1">
        <f t="shared" si="0"/>
        <v>1</v>
      </c>
    </row>
    <row r="46" spans="1:11" hidden="1" x14ac:dyDescent="0.4">
      <c r="A46" t="s">
        <v>9</v>
      </c>
      <c r="B46" t="s">
        <v>10</v>
      </c>
      <c r="C46" t="s">
        <v>11</v>
      </c>
      <c r="D46" t="s">
        <v>12</v>
      </c>
      <c r="E46" t="s">
        <v>47</v>
      </c>
      <c r="F46" t="s">
        <v>48</v>
      </c>
      <c r="G46" t="s">
        <v>16</v>
      </c>
      <c r="H46" t="s">
        <v>8</v>
      </c>
      <c r="I46" s="1">
        <v>0</v>
      </c>
      <c r="J46" s="1">
        <v>1</v>
      </c>
      <c r="K46" s="1">
        <f t="shared" si="0"/>
        <v>1</v>
      </c>
    </row>
    <row r="47" spans="1:11" x14ac:dyDescent="0.4">
      <c r="A47" t="s">
        <v>9</v>
      </c>
      <c r="B47" t="s">
        <v>10</v>
      </c>
      <c r="C47" t="s">
        <v>11</v>
      </c>
      <c r="D47" t="s">
        <v>12</v>
      </c>
      <c r="E47" t="s">
        <v>49</v>
      </c>
      <c r="F47" t="s">
        <v>50</v>
      </c>
      <c r="G47" t="s">
        <v>16</v>
      </c>
      <c r="H47" t="s">
        <v>51</v>
      </c>
      <c r="I47" s="1">
        <v>1</v>
      </c>
      <c r="J47" s="1">
        <v>0</v>
      </c>
      <c r="K47" s="1">
        <f t="shared" si="0"/>
        <v>1</v>
      </c>
    </row>
    <row r="48" spans="1:11" hidden="1" x14ac:dyDescent="0.4">
      <c r="A48" t="s">
        <v>9</v>
      </c>
      <c r="B48" t="s">
        <v>10</v>
      </c>
      <c r="C48" t="s">
        <v>11</v>
      </c>
      <c r="D48" t="s">
        <v>12</v>
      </c>
      <c r="E48" t="s">
        <v>49</v>
      </c>
      <c r="F48" t="s">
        <v>50</v>
      </c>
      <c r="G48" t="s">
        <v>16</v>
      </c>
      <c r="H48" t="s">
        <v>8</v>
      </c>
      <c r="I48" s="1">
        <v>1</v>
      </c>
      <c r="J48" s="1">
        <v>0</v>
      </c>
      <c r="K48" s="1">
        <f t="shared" si="0"/>
        <v>1</v>
      </c>
    </row>
    <row r="49" spans="1:11" x14ac:dyDescent="0.4">
      <c r="A49" t="s">
        <v>9</v>
      </c>
      <c r="B49" t="s">
        <v>10</v>
      </c>
      <c r="C49" t="s">
        <v>11</v>
      </c>
      <c r="D49" t="s">
        <v>12</v>
      </c>
      <c r="E49" t="s">
        <v>52</v>
      </c>
      <c r="F49" t="s">
        <v>53</v>
      </c>
      <c r="G49" t="s">
        <v>16</v>
      </c>
      <c r="H49" t="s">
        <v>15</v>
      </c>
      <c r="I49" s="1">
        <v>1</v>
      </c>
      <c r="J49" s="1">
        <v>0</v>
      </c>
      <c r="K49" s="1">
        <f t="shared" si="0"/>
        <v>1</v>
      </c>
    </row>
    <row r="50" spans="1:11" hidden="1" x14ac:dyDescent="0.4">
      <c r="A50" t="s">
        <v>9</v>
      </c>
      <c r="B50" t="s">
        <v>10</v>
      </c>
      <c r="C50" t="s">
        <v>11</v>
      </c>
      <c r="D50" t="s">
        <v>12</v>
      </c>
      <c r="E50" t="s">
        <v>52</v>
      </c>
      <c r="F50" t="s">
        <v>53</v>
      </c>
      <c r="G50" t="s">
        <v>16</v>
      </c>
      <c r="H50" t="s">
        <v>8</v>
      </c>
      <c r="I50" s="1">
        <v>1</v>
      </c>
      <c r="J50" s="1">
        <v>0</v>
      </c>
      <c r="K50" s="1">
        <f t="shared" si="0"/>
        <v>1</v>
      </c>
    </row>
    <row r="51" spans="1:11" x14ac:dyDescent="0.4">
      <c r="A51" t="s">
        <v>9</v>
      </c>
      <c r="B51" t="s">
        <v>10</v>
      </c>
      <c r="C51" t="s">
        <v>11</v>
      </c>
      <c r="D51" t="s">
        <v>12</v>
      </c>
      <c r="E51" t="s">
        <v>54</v>
      </c>
      <c r="F51" t="s">
        <v>55</v>
      </c>
      <c r="G51" t="s">
        <v>16</v>
      </c>
      <c r="H51" t="s">
        <v>31</v>
      </c>
      <c r="I51" s="1">
        <v>1</v>
      </c>
      <c r="J51" s="1">
        <v>0</v>
      </c>
      <c r="K51" s="1">
        <f t="shared" si="0"/>
        <v>1</v>
      </c>
    </row>
    <row r="52" spans="1:11" hidden="1" x14ac:dyDescent="0.4">
      <c r="A52" t="s">
        <v>9</v>
      </c>
      <c r="B52" t="s">
        <v>10</v>
      </c>
      <c r="C52" t="s">
        <v>11</v>
      </c>
      <c r="D52" t="s">
        <v>12</v>
      </c>
      <c r="E52" t="s">
        <v>54</v>
      </c>
      <c r="F52" t="s">
        <v>55</v>
      </c>
      <c r="G52" t="s">
        <v>16</v>
      </c>
      <c r="H52" t="s">
        <v>8</v>
      </c>
      <c r="I52" s="1">
        <v>1</v>
      </c>
      <c r="J52" s="1">
        <v>0</v>
      </c>
      <c r="K52" s="1">
        <f t="shared" si="0"/>
        <v>1</v>
      </c>
    </row>
    <row r="53" spans="1:11" hidden="1" x14ac:dyDescent="0.4">
      <c r="A53" t="s">
        <v>9</v>
      </c>
      <c r="B53" t="s">
        <v>10</v>
      </c>
      <c r="C53" t="s">
        <v>11</v>
      </c>
      <c r="D53" t="s">
        <v>12</v>
      </c>
      <c r="E53" t="s">
        <v>56</v>
      </c>
      <c r="F53" t="s">
        <v>57</v>
      </c>
      <c r="G53" t="s">
        <v>16</v>
      </c>
      <c r="H53" t="s">
        <v>8</v>
      </c>
      <c r="I53" s="1">
        <v>1</v>
      </c>
      <c r="J53" s="1">
        <v>0</v>
      </c>
      <c r="K53" s="1">
        <f t="shared" si="0"/>
        <v>1</v>
      </c>
    </row>
    <row r="54" spans="1:11" x14ac:dyDescent="0.4">
      <c r="A54" t="s">
        <v>9</v>
      </c>
      <c r="B54" t="s">
        <v>10</v>
      </c>
      <c r="C54" t="s">
        <v>11</v>
      </c>
      <c r="D54" t="s">
        <v>12</v>
      </c>
      <c r="E54" t="s">
        <v>56</v>
      </c>
      <c r="F54" t="s">
        <v>57</v>
      </c>
      <c r="G54" t="s">
        <v>16</v>
      </c>
      <c r="H54" t="s">
        <v>23</v>
      </c>
      <c r="I54" s="1">
        <v>1</v>
      </c>
      <c r="J54" s="1">
        <v>0</v>
      </c>
      <c r="K54" s="1">
        <f t="shared" si="0"/>
        <v>1</v>
      </c>
    </row>
    <row r="55" spans="1:11" x14ac:dyDescent="0.4">
      <c r="A55" t="s">
        <v>9</v>
      </c>
      <c r="B55" t="s">
        <v>10</v>
      </c>
      <c r="C55" t="s">
        <v>11</v>
      </c>
      <c r="D55" t="s">
        <v>12</v>
      </c>
      <c r="E55" t="s">
        <v>58</v>
      </c>
      <c r="F55" t="s">
        <v>59</v>
      </c>
      <c r="G55" t="s">
        <v>16</v>
      </c>
      <c r="H55" t="s">
        <v>15</v>
      </c>
      <c r="I55" s="1">
        <v>1</v>
      </c>
      <c r="J55" s="1">
        <v>0</v>
      </c>
      <c r="K55" s="1">
        <f t="shared" si="0"/>
        <v>1</v>
      </c>
    </row>
    <row r="56" spans="1:11" hidden="1" x14ac:dyDescent="0.4">
      <c r="A56" t="s">
        <v>9</v>
      </c>
      <c r="B56" t="s">
        <v>10</v>
      </c>
      <c r="C56" t="s">
        <v>11</v>
      </c>
      <c r="D56" t="s">
        <v>12</v>
      </c>
      <c r="E56" t="s">
        <v>58</v>
      </c>
      <c r="F56" t="s">
        <v>59</v>
      </c>
      <c r="G56" t="s">
        <v>16</v>
      </c>
      <c r="H56" t="s">
        <v>8</v>
      </c>
      <c r="I56" s="1">
        <v>1</v>
      </c>
      <c r="J56" s="1">
        <v>0</v>
      </c>
      <c r="K56" s="1">
        <f t="shared" si="0"/>
        <v>1</v>
      </c>
    </row>
    <row r="57" spans="1:11" x14ac:dyDescent="0.4">
      <c r="A57" t="s">
        <v>9</v>
      </c>
      <c r="B57" t="s">
        <v>10</v>
      </c>
      <c r="C57" t="s">
        <v>11</v>
      </c>
      <c r="D57" t="s">
        <v>12</v>
      </c>
      <c r="E57" t="s">
        <v>60</v>
      </c>
      <c r="F57" t="s">
        <v>61</v>
      </c>
      <c r="G57" t="s">
        <v>16</v>
      </c>
      <c r="H57" t="s">
        <v>38</v>
      </c>
      <c r="I57" s="1">
        <v>1</v>
      </c>
      <c r="J57" s="1">
        <v>0</v>
      </c>
      <c r="K57" s="1">
        <f t="shared" si="0"/>
        <v>1</v>
      </c>
    </row>
    <row r="58" spans="1:11" hidden="1" x14ac:dyDescent="0.4">
      <c r="A58" t="s">
        <v>9</v>
      </c>
      <c r="B58" t="s">
        <v>10</v>
      </c>
      <c r="C58" t="s">
        <v>11</v>
      </c>
      <c r="D58" t="s">
        <v>12</v>
      </c>
      <c r="E58" t="s">
        <v>60</v>
      </c>
      <c r="F58" t="s">
        <v>61</v>
      </c>
      <c r="G58" t="s">
        <v>16</v>
      </c>
      <c r="H58" t="s">
        <v>8</v>
      </c>
      <c r="I58" s="1">
        <v>1</v>
      </c>
      <c r="J58" s="1">
        <v>0</v>
      </c>
      <c r="K58" s="1">
        <f t="shared" si="0"/>
        <v>1</v>
      </c>
    </row>
    <row r="59" spans="1:11" x14ac:dyDescent="0.4">
      <c r="A59" t="s">
        <v>9</v>
      </c>
      <c r="B59" t="s">
        <v>10</v>
      </c>
      <c r="C59" t="s">
        <v>11</v>
      </c>
      <c r="D59" t="s">
        <v>12</v>
      </c>
      <c r="E59" t="s">
        <v>62</v>
      </c>
      <c r="F59" t="s">
        <v>63</v>
      </c>
      <c r="G59" t="s">
        <v>16</v>
      </c>
      <c r="H59" t="s">
        <v>39</v>
      </c>
      <c r="I59" s="1">
        <v>1</v>
      </c>
      <c r="J59" s="1">
        <v>0</v>
      </c>
      <c r="K59" s="1">
        <f t="shared" si="0"/>
        <v>1</v>
      </c>
    </row>
    <row r="60" spans="1:11" hidden="1" x14ac:dyDescent="0.4">
      <c r="A60" t="s">
        <v>9</v>
      </c>
      <c r="B60" t="s">
        <v>10</v>
      </c>
      <c r="C60" t="s">
        <v>11</v>
      </c>
      <c r="D60" t="s">
        <v>12</v>
      </c>
      <c r="E60" t="s">
        <v>62</v>
      </c>
      <c r="F60" t="s">
        <v>63</v>
      </c>
      <c r="G60" t="s">
        <v>16</v>
      </c>
      <c r="H60" t="s">
        <v>8</v>
      </c>
      <c r="I60" s="1">
        <v>1</v>
      </c>
      <c r="J60" s="1">
        <v>0</v>
      </c>
      <c r="K60" s="1">
        <f t="shared" si="0"/>
        <v>1</v>
      </c>
    </row>
    <row r="61" spans="1:11" x14ac:dyDescent="0.4">
      <c r="A61" t="s">
        <v>9</v>
      </c>
      <c r="B61" t="s">
        <v>10</v>
      </c>
      <c r="C61" t="s">
        <v>11</v>
      </c>
      <c r="D61" t="s">
        <v>12</v>
      </c>
      <c r="E61" t="s">
        <v>64</v>
      </c>
      <c r="F61" t="s">
        <v>65</v>
      </c>
      <c r="G61" t="s">
        <v>16</v>
      </c>
      <c r="H61" t="s">
        <v>17</v>
      </c>
      <c r="I61" s="1">
        <v>2</v>
      </c>
      <c r="J61" s="1">
        <v>0</v>
      </c>
      <c r="K61" s="1">
        <f t="shared" si="0"/>
        <v>2</v>
      </c>
    </row>
    <row r="62" spans="1:11" x14ac:dyDescent="0.4">
      <c r="A62" t="s">
        <v>9</v>
      </c>
      <c r="B62" t="s">
        <v>10</v>
      </c>
      <c r="C62" t="s">
        <v>11</v>
      </c>
      <c r="D62" t="s">
        <v>12</v>
      </c>
      <c r="E62" t="s">
        <v>64</v>
      </c>
      <c r="F62" t="s">
        <v>65</v>
      </c>
      <c r="G62" t="s">
        <v>16</v>
      </c>
      <c r="H62" t="s">
        <v>15</v>
      </c>
      <c r="I62" s="1">
        <v>1</v>
      </c>
      <c r="J62" s="1">
        <v>0</v>
      </c>
      <c r="K62" s="1">
        <f t="shared" si="0"/>
        <v>1</v>
      </c>
    </row>
    <row r="63" spans="1:11" hidden="1" x14ac:dyDescent="0.4">
      <c r="A63" t="s">
        <v>9</v>
      </c>
      <c r="B63" t="s">
        <v>10</v>
      </c>
      <c r="C63" t="s">
        <v>11</v>
      </c>
      <c r="D63" t="s">
        <v>12</v>
      </c>
      <c r="E63" t="s">
        <v>64</v>
      </c>
      <c r="F63" t="s">
        <v>65</v>
      </c>
      <c r="G63" t="s">
        <v>16</v>
      </c>
      <c r="H63" t="s">
        <v>8</v>
      </c>
      <c r="I63" s="1">
        <v>4</v>
      </c>
      <c r="J63" s="1">
        <v>0</v>
      </c>
      <c r="K63" s="1">
        <f t="shared" si="0"/>
        <v>4</v>
      </c>
    </row>
    <row r="64" spans="1:11" x14ac:dyDescent="0.4">
      <c r="A64" t="s">
        <v>9</v>
      </c>
      <c r="B64" t="s">
        <v>10</v>
      </c>
      <c r="C64" t="s">
        <v>11</v>
      </c>
      <c r="D64" t="s">
        <v>12</v>
      </c>
      <c r="E64" t="s">
        <v>64</v>
      </c>
      <c r="F64" t="s">
        <v>65</v>
      </c>
      <c r="G64" t="s">
        <v>16</v>
      </c>
      <c r="H64" t="s">
        <v>23</v>
      </c>
      <c r="I64" s="1">
        <v>1</v>
      </c>
      <c r="J64" s="1">
        <v>0</v>
      </c>
      <c r="K64" s="1">
        <f t="shared" si="0"/>
        <v>1</v>
      </c>
    </row>
    <row r="65" spans="1:11" hidden="1" x14ac:dyDescent="0.4">
      <c r="A65" t="s">
        <v>9</v>
      </c>
      <c r="B65" t="s">
        <v>10</v>
      </c>
      <c r="C65" t="s">
        <v>11</v>
      </c>
      <c r="D65" t="s">
        <v>12</v>
      </c>
      <c r="E65" t="s">
        <v>66</v>
      </c>
      <c r="F65" t="s">
        <v>67</v>
      </c>
      <c r="G65" t="s">
        <v>16</v>
      </c>
      <c r="H65" t="s">
        <v>8</v>
      </c>
      <c r="I65" s="1">
        <v>2</v>
      </c>
      <c r="J65" s="1">
        <v>0</v>
      </c>
      <c r="K65" s="1">
        <f t="shared" si="0"/>
        <v>2</v>
      </c>
    </row>
    <row r="66" spans="1:11" x14ac:dyDescent="0.4">
      <c r="A66" t="s">
        <v>9</v>
      </c>
      <c r="B66" t="s">
        <v>10</v>
      </c>
      <c r="C66" t="s">
        <v>11</v>
      </c>
      <c r="D66" t="s">
        <v>12</v>
      </c>
      <c r="E66" t="s">
        <v>66</v>
      </c>
      <c r="F66" t="s">
        <v>67</v>
      </c>
      <c r="G66" t="s">
        <v>16</v>
      </c>
      <c r="H66" t="s">
        <v>23</v>
      </c>
      <c r="I66" s="1">
        <v>2</v>
      </c>
      <c r="J66" s="1">
        <v>0</v>
      </c>
      <c r="K66" s="1">
        <f t="shared" si="0"/>
        <v>2</v>
      </c>
    </row>
    <row r="67" spans="1:11" x14ac:dyDescent="0.4">
      <c r="A67" t="s">
        <v>9</v>
      </c>
      <c r="B67" t="s">
        <v>10</v>
      </c>
      <c r="C67" t="s">
        <v>11</v>
      </c>
      <c r="D67" t="s">
        <v>12</v>
      </c>
      <c r="E67" t="s">
        <v>68</v>
      </c>
      <c r="F67" t="s">
        <v>69</v>
      </c>
      <c r="G67" t="s">
        <v>16</v>
      </c>
      <c r="H67" t="s">
        <v>17</v>
      </c>
      <c r="I67" s="1">
        <v>1</v>
      </c>
      <c r="J67" s="1">
        <v>0</v>
      </c>
      <c r="K67" s="1">
        <f t="shared" ref="K67:K130" si="1">SUM(I67,J67)</f>
        <v>1</v>
      </c>
    </row>
    <row r="68" spans="1:11" hidden="1" x14ac:dyDescent="0.4">
      <c r="A68" t="s">
        <v>9</v>
      </c>
      <c r="B68" t="s">
        <v>10</v>
      </c>
      <c r="C68" t="s">
        <v>11</v>
      </c>
      <c r="D68" t="s">
        <v>12</v>
      </c>
      <c r="E68" t="s">
        <v>68</v>
      </c>
      <c r="F68" t="s">
        <v>69</v>
      </c>
      <c r="G68" t="s">
        <v>16</v>
      </c>
      <c r="H68" t="s">
        <v>8</v>
      </c>
      <c r="I68" s="1">
        <v>1</v>
      </c>
      <c r="J68" s="1">
        <v>0</v>
      </c>
      <c r="K68" s="1">
        <f t="shared" si="1"/>
        <v>1</v>
      </c>
    </row>
    <row r="69" spans="1:11" x14ac:dyDescent="0.4">
      <c r="A69" t="s">
        <v>9</v>
      </c>
      <c r="B69" t="s">
        <v>10</v>
      </c>
      <c r="C69" t="s">
        <v>11</v>
      </c>
      <c r="D69" t="s">
        <v>12</v>
      </c>
      <c r="E69" t="s">
        <v>70</v>
      </c>
      <c r="F69" t="s">
        <v>71</v>
      </c>
      <c r="G69" t="s">
        <v>16</v>
      </c>
      <c r="H69" t="s">
        <v>17</v>
      </c>
      <c r="I69" s="1">
        <v>2</v>
      </c>
      <c r="J69" s="1">
        <v>1</v>
      </c>
      <c r="K69" s="1">
        <f t="shared" si="1"/>
        <v>3</v>
      </c>
    </row>
    <row r="70" spans="1:11" hidden="1" x14ac:dyDescent="0.4">
      <c r="A70" t="s">
        <v>9</v>
      </c>
      <c r="B70" t="s">
        <v>10</v>
      </c>
      <c r="C70" t="s">
        <v>11</v>
      </c>
      <c r="D70" t="s">
        <v>12</v>
      </c>
      <c r="E70" t="s">
        <v>70</v>
      </c>
      <c r="F70" t="s">
        <v>71</v>
      </c>
      <c r="G70" t="s">
        <v>16</v>
      </c>
      <c r="H70" t="s">
        <v>8</v>
      </c>
      <c r="I70" s="1">
        <v>2</v>
      </c>
      <c r="J70" s="1">
        <v>1</v>
      </c>
      <c r="K70" s="1">
        <f t="shared" si="1"/>
        <v>3</v>
      </c>
    </row>
    <row r="71" spans="1:11" x14ac:dyDescent="0.4">
      <c r="A71" t="s">
        <v>9</v>
      </c>
      <c r="B71" t="s">
        <v>10</v>
      </c>
      <c r="C71" t="s">
        <v>11</v>
      </c>
      <c r="D71" t="s">
        <v>12</v>
      </c>
      <c r="E71" t="s">
        <v>72</v>
      </c>
      <c r="F71" t="s">
        <v>73</v>
      </c>
      <c r="G71" t="s">
        <v>16</v>
      </c>
      <c r="H71" t="s">
        <v>15</v>
      </c>
      <c r="I71" s="1">
        <v>0</v>
      </c>
      <c r="J71" s="1">
        <v>1</v>
      </c>
      <c r="K71" s="1">
        <f t="shared" si="1"/>
        <v>1</v>
      </c>
    </row>
    <row r="72" spans="1:11" hidden="1" x14ac:dyDescent="0.4">
      <c r="A72" t="s">
        <v>9</v>
      </c>
      <c r="B72" t="s">
        <v>10</v>
      </c>
      <c r="C72" t="s">
        <v>11</v>
      </c>
      <c r="D72" t="s">
        <v>12</v>
      </c>
      <c r="E72" t="s">
        <v>72</v>
      </c>
      <c r="F72" t="s">
        <v>73</v>
      </c>
      <c r="G72" t="s">
        <v>16</v>
      </c>
      <c r="H72" t="s">
        <v>8</v>
      </c>
      <c r="I72" s="1">
        <v>0</v>
      </c>
      <c r="J72" s="1">
        <v>1</v>
      </c>
      <c r="K72" s="1">
        <f t="shared" si="1"/>
        <v>1</v>
      </c>
    </row>
    <row r="73" spans="1:11" x14ac:dyDescent="0.4">
      <c r="A73" t="s">
        <v>9</v>
      </c>
      <c r="B73" t="s">
        <v>10</v>
      </c>
      <c r="C73" t="s">
        <v>11</v>
      </c>
      <c r="D73" t="s">
        <v>12</v>
      </c>
      <c r="E73" t="s">
        <v>74</v>
      </c>
      <c r="F73" t="s">
        <v>75</v>
      </c>
      <c r="G73" t="s">
        <v>16</v>
      </c>
      <c r="H73" t="s">
        <v>17</v>
      </c>
      <c r="I73" s="1">
        <v>0</v>
      </c>
      <c r="J73" s="1">
        <v>1</v>
      </c>
      <c r="K73" s="1">
        <f t="shared" si="1"/>
        <v>1</v>
      </c>
    </row>
    <row r="74" spans="1:11" hidden="1" x14ac:dyDescent="0.4">
      <c r="A74" t="s">
        <v>9</v>
      </c>
      <c r="B74" t="s">
        <v>10</v>
      </c>
      <c r="C74" t="s">
        <v>11</v>
      </c>
      <c r="D74" t="s">
        <v>12</v>
      </c>
      <c r="E74" t="s">
        <v>74</v>
      </c>
      <c r="F74" t="s">
        <v>75</v>
      </c>
      <c r="G74" t="s">
        <v>16</v>
      </c>
      <c r="H74" t="s">
        <v>8</v>
      </c>
      <c r="I74" s="1">
        <v>0</v>
      </c>
      <c r="J74" s="1">
        <v>1</v>
      </c>
      <c r="K74" s="1">
        <f t="shared" si="1"/>
        <v>1</v>
      </c>
    </row>
    <row r="75" spans="1:11" x14ac:dyDescent="0.4">
      <c r="A75" t="s">
        <v>9</v>
      </c>
      <c r="B75" t="s">
        <v>10</v>
      </c>
      <c r="C75" t="s">
        <v>11</v>
      </c>
      <c r="D75" t="s">
        <v>12</v>
      </c>
      <c r="E75" t="s">
        <v>76</v>
      </c>
      <c r="F75" t="s">
        <v>77</v>
      </c>
      <c r="G75" t="s">
        <v>16</v>
      </c>
      <c r="H75" t="s">
        <v>17</v>
      </c>
      <c r="I75" s="1">
        <v>1</v>
      </c>
      <c r="J75" s="1">
        <v>0</v>
      </c>
      <c r="K75" s="1">
        <f t="shared" si="1"/>
        <v>1</v>
      </c>
    </row>
    <row r="76" spans="1:11" hidden="1" x14ac:dyDescent="0.4">
      <c r="A76" t="s">
        <v>9</v>
      </c>
      <c r="B76" t="s">
        <v>10</v>
      </c>
      <c r="C76" t="s">
        <v>11</v>
      </c>
      <c r="D76" t="s">
        <v>12</v>
      </c>
      <c r="E76" t="s">
        <v>76</v>
      </c>
      <c r="F76" t="s">
        <v>77</v>
      </c>
      <c r="G76" t="s">
        <v>16</v>
      </c>
      <c r="H76" t="s">
        <v>8</v>
      </c>
      <c r="I76" s="1">
        <v>3</v>
      </c>
      <c r="J76" s="1">
        <v>0</v>
      </c>
      <c r="K76" s="1">
        <f t="shared" si="1"/>
        <v>3</v>
      </c>
    </row>
    <row r="77" spans="1:11" x14ac:dyDescent="0.4">
      <c r="A77" t="s">
        <v>9</v>
      </c>
      <c r="B77" t="s">
        <v>10</v>
      </c>
      <c r="C77" t="s">
        <v>11</v>
      </c>
      <c r="D77" t="s">
        <v>12</v>
      </c>
      <c r="E77" t="s">
        <v>76</v>
      </c>
      <c r="F77" t="s">
        <v>77</v>
      </c>
      <c r="G77" t="s">
        <v>16</v>
      </c>
      <c r="H77" t="s">
        <v>23</v>
      </c>
      <c r="I77" s="1">
        <v>2</v>
      </c>
      <c r="J77" s="1">
        <v>0</v>
      </c>
      <c r="K77" s="1">
        <f t="shared" si="1"/>
        <v>2</v>
      </c>
    </row>
    <row r="78" spans="1:11" hidden="1" x14ac:dyDescent="0.4">
      <c r="A78" t="s">
        <v>9</v>
      </c>
      <c r="B78" t="s">
        <v>10</v>
      </c>
      <c r="C78" t="s">
        <v>11</v>
      </c>
      <c r="D78" t="s">
        <v>12</v>
      </c>
      <c r="E78" t="s">
        <v>78</v>
      </c>
      <c r="F78" t="s">
        <v>79</v>
      </c>
      <c r="G78" t="s">
        <v>16</v>
      </c>
      <c r="H78" t="s">
        <v>8</v>
      </c>
      <c r="I78" s="1">
        <v>1</v>
      </c>
      <c r="J78" s="1">
        <v>0</v>
      </c>
      <c r="K78" s="1">
        <f t="shared" si="1"/>
        <v>1</v>
      </c>
    </row>
    <row r="79" spans="1:11" x14ac:dyDescent="0.4">
      <c r="A79" t="s">
        <v>9</v>
      </c>
      <c r="B79" t="s">
        <v>10</v>
      </c>
      <c r="C79" t="s">
        <v>11</v>
      </c>
      <c r="D79" t="s">
        <v>12</v>
      </c>
      <c r="E79" t="s">
        <v>78</v>
      </c>
      <c r="F79" t="s">
        <v>79</v>
      </c>
      <c r="G79" t="s">
        <v>16</v>
      </c>
      <c r="H79" t="s">
        <v>23</v>
      </c>
      <c r="I79" s="1">
        <v>1</v>
      </c>
      <c r="J79" s="1">
        <v>0</v>
      </c>
      <c r="K79" s="1">
        <f t="shared" si="1"/>
        <v>1</v>
      </c>
    </row>
    <row r="80" spans="1:11" x14ac:dyDescent="0.4">
      <c r="A80" t="s">
        <v>9</v>
      </c>
      <c r="B80" t="s">
        <v>10</v>
      </c>
      <c r="C80" t="s">
        <v>11</v>
      </c>
      <c r="D80" t="s">
        <v>12</v>
      </c>
      <c r="E80" t="s">
        <v>80</v>
      </c>
      <c r="F80" t="s">
        <v>81</v>
      </c>
      <c r="G80" t="s">
        <v>16</v>
      </c>
      <c r="H80" t="s">
        <v>38</v>
      </c>
      <c r="I80" s="1">
        <v>1</v>
      </c>
      <c r="J80" s="1">
        <v>0</v>
      </c>
      <c r="K80" s="1">
        <f t="shared" si="1"/>
        <v>1</v>
      </c>
    </row>
    <row r="81" spans="1:11" x14ac:dyDescent="0.4">
      <c r="A81" t="s">
        <v>9</v>
      </c>
      <c r="B81" t="s">
        <v>10</v>
      </c>
      <c r="C81" t="s">
        <v>11</v>
      </c>
      <c r="D81" t="s">
        <v>12</v>
      </c>
      <c r="E81" t="s">
        <v>80</v>
      </c>
      <c r="F81" t="s">
        <v>81</v>
      </c>
      <c r="G81" t="s">
        <v>16</v>
      </c>
      <c r="H81" t="s">
        <v>18</v>
      </c>
      <c r="I81" s="1">
        <v>1</v>
      </c>
      <c r="J81" s="1">
        <v>0</v>
      </c>
      <c r="K81" s="1">
        <f t="shared" si="1"/>
        <v>1</v>
      </c>
    </row>
    <row r="82" spans="1:11" hidden="1" x14ac:dyDescent="0.4">
      <c r="A82" t="s">
        <v>9</v>
      </c>
      <c r="B82" t="s">
        <v>10</v>
      </c>
      <c r="C82" t="s">
        <v>11</v>
      </c>
      <c r="D82" t="s">
        <v>12</v>
      </c>
      <c r="E82" t="s">
        <v>80</v>
      </c>
      <c r="F82" t="s">
        <v>81</v>
      </c>
      <c r="G82" t="s">
        <v>16</v>
      </c>
      <c r="H82" t="s">
        <v>8</v>
      </c>
      <c r="I82" s="1">
        <v>5</v>
      </c>
      <c r="J82" s="1">
        <v>0</v>
      </c>
      <c r="K82" s="1">
        <f t="shared" si="1"/>
        <v>5</v>
      </c>
    </row>
    <row r="83" spans="1:11" x14ac:dyDescent="0.4">
      <c r="A83" t="s">
        <v>9</v>
      </c>
      <c r="B83" t="s">
        <v>10</v>
      </c>
      <c r="C83" t="s">
        <v>11</v>
      </c>
      <c r="D83" t="s">
        <v>12</v>
      </c>
      <c r="E83" t="s">
        <v>80</v>
      </c>
      <c r="F83" t="s">
        <v>81</v>
      </c>
      <c r="G83" t="s">
        <v>16</v>
      </c>
      <c r="H83" t="s">
        <v>23</v>
      </c>
      <c r="I83" s="1">
        <v>3</v>
      </c>
      <c r="J83" s="1">
        <v>0</v>
      </c>
      <c r="K83" s="1">
        <f t="shared" si="1"/>
        <v>3</v>
      </c>
    </row>
    <row r="84" spans="1:11" x14ac:dyDescent="0.4">
      <c r="A84" t="s">
        <v>9</v>
      </c>
      <c r="B84" t="s">
        <v>10</v>
      </c>
      <c r="C84" t="s">
        <v>11</v>
      </c>
      <c r="D84" t="s">
        <v>12</v>
      </c>
      <c r="E84" t="s">
        <v>82</v>
      </c>
      <c r="F84" t="s">
        <v>83</v>
      </c>
      <c r="G84" t="s">
        <v>16</v>
      </c>
      <c r="H84" t="s">
        <v>15</v>
      </c>
      <c r="I84" s="1">
        <v>1</v>
      </c>
      <c r="J84" s="1">
        <v>0</v>
      </c>
      <c r="K84" s="1">
        <f t="shared" si="1"/>
        <v>1</v>
      </c>
    </row>
    <row r="85" spans="1:11" hidden="1" x14ac:dyDescent="0.4">
      <c r="A85" t="s">
        <v>9</v>
      </c>
      <c r="B85" t="s">
        <v>10</v>
      </c>
      <c r="C85" t="s">
        <v>11</v>
      </c>
      <c r="D85" t="s">
        <v>12</v>
      </c>
      <c r="E85" t="s">
        <v>82</v>
      </c>
      <c r="F85" t="s">
        <v>83</v>
      </c>
      <c r="G85" t="s">
        <v>16</v>
      </c>
      <c r="H85" t="s">
        <v>8</v>
      </c>
      <c r="I85" s="1">
        <v>1</v>
      </c>
      <c r="J85" s="1">
        <v>0</v>
      </c>
      <c r="K85" s="1">
        <f t="shared" si="1"/>
        <v>1</v>
      </c>
    </row>
    <row r="86" spans="1:11" x14ac:dyDescent="0.4">
      <c r="A86" t="s">
        <v>9</v>
      </c>
      <c r="B86" t="s">
        <v>10</v>
      </c>
      <c r="C86" t="s">
        <v>11</v>
      </c>
      <c r="D86" t="s">
        <v>12</v>
      </c>
      <c r="E86" t="s">
        <v>84</v>
      </c>
      <c r="F86" t="s">
        <v>85</v>
      </c>
      <c r="G86" t="s">
        <v>16</v>
      </c>
      <c r="H86" t="s">
        <v>18</v>
      </c>
      <c r="I86" s="1">
        <v>1</v>
      </c>
      <c r="J86" s="1">
        <v>0</v>
      </c>
      <c r="K86" s="1">
        <f t="shared" si="1"/>
        <v>1</v>
      </c>
    </row>
    <row r="87" spans="1:11" hidden="1" x14ac:dyDescent="0.4">
      <c r="A87" t="s">
        <v>9</v>
      </c>
      <c r="B87" t="s">
        <v>10</v>
      </c>
      <c r="C87" t="s">
        <v>11</v>
      </c>
      <c r="D87" t="s">
        <v>12</v>
      </c>
      <c r="E87" t="s">
        <v>84</v>
      </c>
      <c r="F87" t="s">
        <v>85</v>
      </c>
      <c r="G87" t="s">
        <v>16</v>
      </c>
      <c r="H87" t="s">
        <v>8</v>
      </c>
      <c r="I87" s="1">
        <v>1</v>
      </c>
      <c r="J87" s="1">
        <v>0</v>
      </c>
      <c r="K87" s="1">
        <f t="shared" si="1"/>
        <v>1</v>
      </c>
    </row>
    <row r="88" spans="1:11" x14ac:dyDescent="0.4">
      <c r="A88" t="s">
        <v>9</v>
      </c>
      <c r="B88" t="s">
        <v>10</v>
      </c>
      <c r="C88" t="s">
        <v>11</v>
      </c>
      <c r="D88" t="s">
        <v>12</v>
      </c>
      <c r="E88" t="s">
        <v>86</v>
      </c>
      <c r="F88" t="s">
        <v>87</v>
      </c>
      <c r="G88" t="s">
        <v>16</v>
      </c>
      <c r="H88" t="s">
        <v>17</v>
      </c>
      <c r="I88" s="1">
        <v>0</v>
      </c>
      <c r="J88" s="1">
        <v>1</v>
      </c>
      <c r="K88" s="1">
        <f t="shared" si="1"/>
        <v>1</v>
      </c>
    </row>
    <row r="89" spans="1:11" hidden="1" x14ac:dyDescent="0.4">
      <c r="A89" t="s">
        <v>9</v>
      </c>
      <c r="B89" t="s">
        <v>10</v>
      </c>
      <c r="C89" t="s">
        <v>11</v>
      </c>
      <c r="D89" t="s">
        <v>12</v>
      </c>
      <c r="E89" t="s">
        <v>86</v>
      </c>
      <c r="F89" t="s">
        <v>87</v>
      </c>
      <c r="G89" t="s">
        <v>16</v>
      </c>
      <c r="H89" t="s">
        <v>8</v>
      </c>
      <c r="I89" s="1">
        <v>0</v>
      </c>
      <c r="J89" s="1">
        <v>1</v>
      </c>
      <c r="K89" s="1">
        <f t="shared" si="1"/>
        <v>1</v>
      </c>
    </row>
    <row r="90" spans="1:11" x14ac:dyDescent="0.4">
      <c r="A90" t="s">
        <v>9</v>
      </c>
      <c r="B90" t="s">
        <v>10</v>
      </c>
      <c r="C90" t="s">
        <v>11</v>
      </c>
      <c r="D90" t="s">
        <v>12</v>
      </c>
      <c r="E90" t="s">
        <v>88</v>
      </c>
      <c r="F90" t="s">
        <v>89</v>
      </c>
      <c r="G90" t="s">
        <v>16</v>
      </c>
      <c r="H90" t="s">
        <v>17</v>
      </c>
      <c r="I90" s="1">
        <v>0</v>
      </c>
      <c r="J90" s="1">
        <v>1</v>
      </c>
      <c r="K90" s="1">
        <f t="shared" si="1"/>
        <v>1</v>
      </c>
    </row>
    <row r="91" spans="1:11" hidden="1" x14ac:dyDescent="0.4">
      <c r="A91" t="s">
        <v>9</v>
      </c>
      <c r="B91" t="s">
        <v>10</v>
      </c>
      <c r="C91" t="s">
        <v>11</v>
      </c>
      <c r="D91" t="s">
        <v>12</v>
      </c>
      <c r="E91" t="s">
        <v>88</v>
      </c>
      <c r="F91" t="s">
        <v>89</v>
      </c>
      <c r="G91" t="s">
        <v>16</v>
      </c>
      <c r="H91" t="s">
        <v>8</v>
      </c>
      <c r="I91" s="1">
        <v>1</v>
      </c>
      <c r="J91" s="1">
        <v>1</v>
      </c>
      <c r="K91" s="1">
        <f t="shared" si="1"/>
        <v>2</v>
      </c>
    </row>
    <row r="92" spans="1:11" x14ac:dyDescent="0.4">
      <c r="A92" t="s">
        <v>9</v>
      </c>
      <c r="B92" t="s">
        <v>10</v>
      </c>
      <c r="C92" t="s">
        <v>11</v>
      </c>
      <c r="D92" t="s">
        <v>12</v>
      </c>
      <c r="E92" t="s">
        <v>88</v>
      </c>
      <c r="F92" t="s">
        <v>89</v>
      </c>
      <c r="G92" t="s">
        <v>16</v>
      </c>
      <c r="H92" t="s">
        <v>23</v>
      </c>
      <c r="I92" s="1">
        <v>1</v>
      </c>
      <c r="J92" s="1">
        <v>0</v>
      </c>
      <c r="K92" s="1">
        <f t="shared" si="1"/>
        <v>1</v>
      </c>
    </row>
    <row r="93" spans="1:11" x14ac:dyDescent="0.4">
      <c r="A93" t="s">
        <v>9</v>
      </c>
      <c r="B93" t="s">
        <v>10</v>
      </c>
      <c r="C93" t="s">
        <v>11</v>
      </c>
      <c r="D93" t="s">
        <v>12</v>
      </c>
      <c r="E93" t="s">
        <v>90</v>
      </c>
      <c r="F93" t="s">
        <v>91</v>
      </c>
      <c r="G93" t="s">
        <v>16</v>
      </c>
      <c r="H93" t="s">
        <v>17</v>
      </c>
      <c r="I93" s="1">
        <v>0</v>
      </c>
      <c r="J93" s="1">
        <v>1</v>
      </c>
      <c r="K93" s="1">
        <f t="shared" si="1"/>
        <v>1</v>
      </c>
    </row>
    <row r="94" spans="1:11" hidden="1" x14ac:dyDescent="0.4">
      <c r="A94" t="s">
        <v>9</v>
      </c>
      <c r="B94" t="s">
        <v>10</v>
      </c>
      <c r="C94" t="s">
        <v>11</v>
      </c>
      <c r="D94" t="s">
        <v>12</v>
      </c>
      <c r="E94" t="s">
        <v>90</v>
      </c>
      <c r="F94" t="s">
        <v>91</v>
      </c>
      <c r="G94" t="s">
        <v>16</v>
      </c>
      <c r="H94" t="s">
        <v>8</v>
      </c>
      <c r="I94" s="1">
        <v>0</v>
      </c>
      <c r="J94" s="1">
        <v>1</v>
      </c>
      <c r="K94" s="1">
        <f t="shared" si="1"/>
        <v>1</v>
      </c>
    </row>
    <row r="95" spans="1:11" x14ac:dyDescent="0.4">
      <c r="A95" t="s">
        <v>9</v>
      </c>
      <c r="B95" t="s">
        <v>10</v>
      </c>
      <c r="C95" t="s">
        <v>11</v>
      </c>
      <c r="D95" t="s">
        <v>12</v>
      </c>
      <c r="E95" t="s">
        <v>92</v>
      </c>
      <c r="F95" t="s">
        <v>93</v>
      </c>
      <c r="G95" t="s">
        <v>16</v>
      </c>
      <c r="H95" t="s">
        <v>15</v>
      </c>
      <c r="I95" s="1">
        <v>1</v>
      </c>
      <c r="J95" s="1">
        <v>0</v>
      </c>
      <c r="K95" s="1">
        <f t="shared" si="1"/>
        <v>1</v>
      </c>
    </row>
    <row r="96" spans="1:11" hidden="1" x14ac:dyDescent="0.4">
      <c r="A96" t="s">
        <v>9</v>
      </c>
      <c r="B96" t="s">
        <v>10</v>
      </c>
      <c r="C96" t="s">
        <v>11</v>
      </c>
      <c r="D96" t="s">
        <v>12</v>
      </c>
      <c r="E96" t="s">
        <v>92</v>
      </c>
      <c r="F96" t="s">
        <v>93</v>
      </c>
      <c r="G96" t="s">
        <v>16</v>
      </c>
      <c r="H96" t="s">
        <v>8</v>
      </c>
      <c r="I96" s="1">
        <v>1</v>
      </c>
      <c r="J96" s="1">
        <v>0</v>
      </c>
      <c r="K96" s="1">
        <f t="shared" si="1"/>
        <v>1</v>
      </c>
    </row>
    <row r="97" spans="1:11" x14ac:dyDescent="0.4">
      <c r="A97" t="s">
        <v>9</v>
      </c>
      <c r="B97" t="s">
        <v>10</v>
      </c>
      <c r="C97" t="s">
        <v>11</v>
      </c>
      <c r="D97" t="s">
        <v>12</v>
      </c>
      <c r="E97" t="s">
        <v>94</v>
      </c>
      <c r="F97" t="s">
        <v>95</v>
      </c>
      <c r="G97" t="s">
        <v>16</v>
      </c>
      <c r="H97" t="s">
        <v>17</v>
      </c>
      <c r="I97" s="1">
        <v>0</v>
      </c>
      <c r="J97" s="1">
        <v>1</v>
      </c>
      <c r="K97" s="1">
        <f t="shared" si="1"/>
        <v>1</v>
      </c>
    </row>
    <row r="98" spans="1:11" hidden="1" x14ac:dyDescent="0.4">
      <c r="A98" t="s">
        <v>9</v>
      </c>
      <c r="B98" t="s">
        <v>10</v>
      </c>
      <c r="C98" t="s">
        <v>11</v>
      </c>
      <c r="D98" t="s">
        <v>12</v>
      </c>
      <c r="E98" t="s">
        <v>94</v>
      </c>
      <c r="F98" t="s">
        <v>95</v>
      </c>
      <c r="G98" t="s">
        <v>16</v>
      </c>
      <c r="H98" t="s">
        <v>8</v>
      </c>
      <c r="I98" s="1">
        <v>0</v>
      </c>
      <c r="J98" s="1">
        <v>1</v>
      </c>
      <c r="K98" s="1">
        <f t="shared" si="1"/>
        <v>1</v>
      </c>
    </row>
    <row r="99" spans="1:11" x14ac:dyDescent="0.4">
      <c r="A99" t="s">
        <v>9</v>
      </c>
      <c r="B99" t="s">
        <v>10</v>
      </c>
      <c r="C99" t="s">
        <v>11</v>
      </c>
      <c r="D99" t="s">
        <v>12</v>
      </c>
      <c r="E99" t="s">
        <v>96</v>
      </c>
      <c r="F99" t="s">
        <v>97</v>
      </c>
      <c r="G99" t="s">
        <v>16</v>
      </c>
      <c r="H99" t="s">
        <v>15</v>
      </c>
      <c r="I99" s="1">
        <v>1</v>
      </c>
      <c r="J99" s="1">
        <v>0</v>
      </c>
      <c r="K99" s="1">
        <f t="shared" si="1"/>
        <v>1</v>
      </c>
    </row>
    <row r="100" spans="1:11" hidden="1" x14ac:dyDescent="0.4">
      <c r="A100" t="s">
        <v>9</v>
      </c>
      <c r="B100" t="s">
        <v>10</v>
      </c>
      <c r="C100" t="s">
        <v>11</v>
      </c>
      <c r="D100" t="s">
        <v>12</v>
      </c>
      <c r="E100" t="s">
        <v>96</v>
      </c>
      <c r="F100" t="s">
        <v>97</v>
      </c>
      <c r="G100" t="s">
        <v>16</v>
      </c>
      <c r="H100" t="s">
        <v>8</v>
      </c>
      <c r="I100" s="1">
        <v>1</v>
      </c>
      <c r="J100" s="1">
        <v>0</v>
      </c>
      <c r="K100" s="1">
        <f t="shared" si="1"/>
        <v>1</v>
      </c>
    </row>
    <row r="101" spans="1:11" x14ac:dyDescent="0.4">
      <c r="A101" t="s">
        <v>9</v>
      </c>
      <c r="B101" t="s">
        <v>10</v>
      </c>
      <c r="C101" t="s">
        <v>11</v>
      </c>
      <c r="D101" t="s">
        <v>12</v>
      </c>
      <c r="E101" t="s">
        <v>98</v>
      </c>
      <c r="F101" t="s">
        <v>99</v>
      </c>
      <c r="G101" t="s">
        <v>16</v>
      </c>
      <c r="H101" t="s">
        <v>17</v>
      </c>
      <c r="I101" s="1">
        <v>1</v>
      </c>
      <c r="J101" s="1">
        <v>5</v>
      </c>
      <c r="K101" s="1">
        <f t="shared" si="1"/>
        <v>6</v>
      </c>
    </row>
    <row r="102" spans="1:11" hidden="1" x14ac:dyDescent="0.4">
      <c r="A102" t="s">
        <v>9</v>
      </c>
      <c r="B102" t="s">
        <v>10</v>
      </c>
      <c r="C102" t="s">
        <v>11</v>
      </c>
      <c r="D102" t="s">
        <v>12</v>
      </c>
      <c r="E102" t="s">
        <v>98</v>
      </c>
      <c r="F102" t="s">
        <v>99</v>
      </c>
      <c r="G102" t="s">
        <v>16</v>
      </c>
      <c r="H102" t="s">
        <v>8</v>
      </c>
      <c r="I102" s="1">
        <v>1</v>
      </c>
      <c r="J102" s="1">
        <v>5</v>
      </c>
      <c r="K102" s="1">
        <f t="shared" si="1"/>
        <v>6</v>
      </c>
    </row>
    <row r="103" spans="1:11" hidden="1" x14ac:dyDescent="0.4">
      <c r="A103" t="s">
        <v>9</v>
      </c>
      <c r="B103" t="s">
        <v>10</v>
      </c>
      <c r="C103" t="s">
        <v>11</v>
      </c>
      <c r="D103" t="s">
        <v>12</v>
      </c>
      <c r="E103" t="s">
        <v>100</v>
      </c>
      <c r="F103" t="s">
        <v>101</v>
      </c>
      <c r="G103" t="s">
        <v>16</v>
      </c>
      <c r="H103" t="s">
        <v>8</v>
      </c>
      <c r="I103" s="1">
        <v>1</v>
      </c>
      <c r="J103" s="1">
        <v>0</v>
      </c>
      <c r="K103" s="1">
        <f t="shared" si="1"/>
        <v>1</v>
      </c>
    </row>
    <row r="104" spans="1:11" x14ac:dyDescent="0.4">
      <c r="A104" t="s">
        <v>9</v>
      </c>
      <c r="B104" t="s">
        <v>10</v>
      </c>
      <c r="C104" t="s">
        <v>11</v>
      </c>
      <c r="D104" t="s">
        <v>12</v>
      </c>
      <c r="E104" t="s">
        <v>100</v>
      </c>
      <c r="F104" t="s">
        <v>101</v>
      </c>
      <c r="G104" t="s">
        <v>16</v>
      </c>
      <c r="H104" t="s">
        <v>23</v>
      </c>
      <c r="I104" s="1">
        <v>1</v>
      </c>
      <c r="J104" s="1">
        <v>0</v>
      </c>
      <c r="K104" s="1">
        <f t="shared" si="1"/>
        <v>1</v>
      </c>
    </row>
    <row r="105" spans="1:11" x14ac:dyDescent="0.4">
      <c r="A105" t="s">
        <v>9</v>
      </c>
      <c r="B105" t="s">
        <v>10</v>
      </c>
      <c r="C105" t="s">
        <v>11</v>
      </c>
      <c r="D105" t="s">
        <v>12</v>
      </c>
      <c r="E105" t="s">
        <v>102</v>
      </c>
      <c r="F105" t="s">
        <v>103</v>
      </c>
      <c r="G105" t="s">
        <v>16</v>
      </c>
      <c r="H105" t="s">
        <v>34</v>
      </c>
      <c r="I105" s="1">
        <v>1</v>
      </c>
      <c r="J105" s="1">
        <v>0</v>
      </c>
      <c r="K105" s="1">
        <f t="shared" si="1"/>
        <v>1</v>
      </c>
    </row>
    <row r="106" spans="1:11" x14ac:dyDescent="0.4">
      <c r="A106" t="s">
        <v>9</v>
      </c>
      <c r="B106" t="s">
        <v>10</v>
      </c>
      <c r="C106" t="s">
        <v>11</v>
      </c>
      <c r="D106" t="s">
        <v>12</v>
      </c>
      <c r="E106" t="s">
        <v>102</v>
      </c>
      <c r="F106" t="s">
        <v>103</v>
      </c>
      <c r="G106" t="s">
        <v>16</v>
      </c>
      <c r="H106" t="s">
        <v>17</v>
      </c>
      <c r="I106" s="1">
        <v>0</v>
      </c>
      <c r="J106" s="1">
        <v>1</v>
      </c>
      <c r="K106" s="1">
        <f t="shared" si="1"/>
        <v>1</v>
      </c>
    </row>
    <row r="107" spans="1:11" hidden="1" x14ac:dyDescent="0.4">
      <c r="A107" t="s">
        <v>9</v>
      </c>
      <c r="B107" t="s">
        <v>10</v>
      </c>
      <c r="C107" t="s">
        <v>11</v>
      </c>
      <c r="D107" t="s">
        <v>12</v>
      </c>
      <c r="E107" t="s">
        <v>102</v>
      </c>
      <c r="F107" t="s">
        <v>103</v>
      </c>
      <c r="G107" t="s">
        <v>16</v>
      </c>
      <c r="H107" t="s">
        <v>8</v>
      </c>
      <c r="I107" s="1">
        <v>1</v>
      </c>
      <c r="J107" s="1">
        <v>1</v>
      </c>
      <c r="K107" s="1">
        <f t="shared" si="1"/>
        <v>2</v>
      </c>
    </row>
    <row r="108" spans="1:11" x14ac:dyDescent="0.4">
      <c r="A108" t="s">
        <v>9</v>
      </c>
      <c r="B108" t="s">
        <v>10</v>
      </c>
      <c r="C108" t="s">
        <v>11</v>
      </c>
      <c r="D108" t="s">
        <v>12</v>
      </c>
      <c r="E108" t="s">
        <v>104</v>
      </c>
      <c r="F108" t="s">
        <v>105</v>
      </c>
      <c r="G108" t="s">
        <v>16</v>
      </c>
      <c r="H108" t="s">
        <v>17</v>
      </c>
      <c r="I108" s="1">
        <v>0</v>
      </c>
      <c r="J108" s="1">
        <v>1</v>
      </c>
      <c r="K108" s="1">
        <f t="shared" si="1"/>
        <v>1</v>
      </c>
    </row>
    <row r="109" spans="1:11" x14ac:dyDescent="0.4">
      <c r="A109" t="s">
        <v>9</v>
      </c>
      <c r="B109" t="s">
        <v>10</v>
      </c>
      <c r="C109" t="s">
        <v>11</v>
      </c>
      <c r="D109" t="s">
        <v>12</v>
      </c>
      <c r="E109" t="s">
        <v>104</v>
      </c>
      <c r="F109" t="s">
        <v>105</v>
      </c>
      <c r="G109" t="s">
        <v>16</v>
      </c>
      <c r="H109" t="s">
        <v>39</v>
      </c>
      <c r="I109" s="1">
        <v>1</v>
      </c>
      <c r="J109" s="1">
        <v>0</v>
      </c>
      <c r="K109" s="1">
        <f t="shared" si="1"/>
        <v>1</v>
      </c>
    </row>
    <row r="110" spans="1:11" x14ac:dyDescent="0.4">
      <c r="A110" t="s">
        <v>9</v>
      </c>
      <c r="B110" t="s">
        <v>10</v>
      </c>
      <c r="C110" t="s">
        <v>11</v>
      </c>
      <c r="D110" t="s">
        <v>12</v>
      </c>
      <c r="E110" t="s">
        <v>104</v>
      </c>
      <c r="F110" t="s">
        <v>105</v>
      </c>
      <c r="G110" t="s">
        <v>16</v>
      </c>
      <c r="H110" t="s">
        <v>51</v>
      </c>
      <c r="I110" s="1">
        <v>1</v>
      </c>
      <c r="J110" s="1">
        <v>0</v>
      </c>
      <c r="K110" s="1">
        <f t="shared" si="1"/>
        <v>1</v>
      </c>
    </row>
    <row r="111" spans="1:11" hidden="1" x14ac:dyDescent="0.4">
      <c r="A111" t="s">
        <v>9</v>
      </c>
      <c r="B111" t="s">
        <v>10</v>
      </c>
      <c r="C111" t="s">
        <v>11</v>
      </c>
      <c r="D111" t="s">
        <v>12</v>
      </c>
      <c r="E111" t="s">
        <v>104</v>
      </c>
      <c r="F111" t="s">
        <v>105</v>
      </c>
      <c r="G111" t="s">
        <v>16</v>
      </c>
      <c r="H111" t="s">
        <v>8</v>
      </c>
      <c r="I111" s="1">
        <v>2</v>
      </c>
      <c r="J111" s="1">
        <v>1</v>
      </c>
      <c r="K111" s="1">
        <f t="shared" si="1"/>
        <v>3</v>
      </c>
    </row>
    <row r="112" spans="1:11" x14ac:dyDescent="0.4">
      <c r="A112" t="s">
        <v>9</v>
      </c>
      <c r="B112" t="s">
        <v>10</v>
      </c>
      <c r="C112" t="s">
        <v>11</v>
      </c>
      <c r="D112" t="s">
        <v>12</v>
      </c>
      <c r="E112" t="s">
        <v>106</v>
      </c>
      <c r="F112" t="s">
        <v>107</v>
      </c>
      <c r="G112" t="s">
        <v>16</v>
      </c>
      <c r="H112" t="s">
        <v>17</v>
      </c>
      <c r="I112" s="1">
        <v>0</v>
      </c>
      <c r="J112" s="1">
        <v>1</v>
      </c>
      <c r="K112" s="1">
        <f t="shared" si="1"/>
        <v>1</v>
      </c>
    </row>
    <row r="113" spans="1:11" x14ac:dyDescent="0.4">
      <c r="A113" t="s">
        <v>9</v>
      </c>
      <c r="B113" t="s">
        <v>10</v>
      </c>
      <c r="C113" t="s">
        <v>11</v>
      </c>
      <c r="D113" t="s">
        <v>12</v>
      </c>
      <c r="E113" t="s">
        <v>106</v>
      </c>
      <c r="F113" t="s">
        <v>107</v>
      </c>
      <c r="G113" t="s">
        <v>16</v>
      </c>
      <c r="H113" t="s">
        <v>31</v>
      </c>
      <c r="I113" s="1">
        <v>0</v>
      </c>
      <c r="J113" s="1">
        <v>1</v>
      </c>
      <c r="K113" s="1">
        <f t="shared" si="1"/>
        <v>1</v>
      </c>
    </row>
    <row r="114" spans="1:11" hidden="1" x14ac:dyDescent="0.4">
      <c r="A114" t="s">
        <v>9</v>
      </c>
      <c r="B114" t="s">
        <v>10</v>
      </c>
      <c r="C114" t="s">
        <v>11</v>
      </c>
      <c r="D114" t="s">
        <v>12</v>
      </c>
      <c r="E114" t="s">
        <v>106</v>
      </c>
      <c r="F114" t="s">
        <v>107</v>
      </c>
      <c r="G114" t="s">
        <v>16</v>
      </c>
      <c r="H114" t="s">
        <v>8</v>
      </c>
      <c r="I114" s="1">
        <v>0</v>
      </c>
      <c r="J114" s="1">
        <v>2</v>
      </c>
      <c r="K114" s="1">
        <f t="shared" si="1"/>
        <v>2</v>
      </c>
    </row>
    <row r="115" spans="1:11" x14ac:dyDescent="0.4">
      <c r="A115" t="s">
        <v>9</v>
      </c>
      <c r="B115" t="s">
        <v>10</v>
      </c>
      <c r="C115" t="s">
        <v>11</v>
      </c>
      <c r="D115" t="s">
        <v>12</v>
      </c>
      <c r="E115" t="s">
        <v>108</v>
      </c>
      <c r="F115" t="s">
        <v>109</v>
      </c>
      <c r="G115" t="s">
        <v>16</v>
      </c>
      <c r="H115" t="s">
        <v>37</v>
      </c>
      <c r="I115" s="1">
        <v>1</v>
      </c>
      <c r="J115" s="1">
        <v>0</v>
      </c>
      <c r="K115" s="1">
        <f t="shared" si="1"/>
        <v>1</v>
      </c>
    </row>
    <row r="116" spans="1:11" hidden="1" x14ac:dyDescent="0.4">
      <c r="A116" t="s">
        <v>9</v>
      </c>
      <c r="B116" t="s">
        <v>10</v>
      </c>
      <c r="C116" t="s">
        <v>11</v>
      </c>
      <c r="D116" t="s">
        <v>12</v>
      </c>
      <c r="E116" t="s">
        <v>108</v>
      </c>
      <c r="F116" t="s">
        <v>109</v>
      </c>
      <c r="G116" t="s">
        <v>16</v>
      </c>
      <c r="H116" t="s">
        <v>8</v>
      </c>
      <c r="I116" s="1">
        <v>1</v>
      </c>
      <c r="J116" s="1">
        <v>0</v>
      </c>
      <c r="K116" s="1">
        <f t="shared" si="1"/>
        <v>1</v>
      </c>
    </row>
    <row r="117" spans="1:11" x14ac:dyDescent="0.4">
      <c r="A117" t="s">
        <v>9</v>
      </c>
      <c r="B117" t="s">
        <v>10</v>
      </c>
      <c r="C117" t="s">
        <v>11</v>
      </c>
      <c r="D117" t="s">
        <v>12</v>
      </c>
      <c r="E117" t="s">
        <v>110</v>
      </c>
      <c r="F117" t="s">
        <v>111</v>
      </c>
      <c r="G117" t="s">
        <v>16</v>
      </c>
      <c r="H117" t="s">
        <v>31</v>
      </c>
      <c r="I117" s="1">
        <v>1</v>
      </c>
      <c r="J117" s="1">
        <v>0</v>
      </c>
      <c r="K117" s="1">
        <f t="shared" si="1"/>
        <v>1</v>
      </c>
    </row>
    <row r="118" spans="1:11" hidden="1" x14ac:dyDescent="0.4">
      <c r="A118" t="s">
        <v>9</v>
      </c>
      <c r="B118" t="s">
        <v>10</v>
      </c>
      <c r="C118" t="s">
        <v>11</v>
      </c>
      <c r="D118" t="s">
        <v>12</v>
      </c>
      <c r="E118" t="s">
        <v>110</v>
      </c>
      <c r="F118" t="s">
        <v>111</v>
      </c>
      <c r="G118" t="s">
        <v>16</v>
      </c>
      <c r="H118" t="s">
        <v>8</v>
      </c>
      <c r="I118" s="1">
        <v>1</v>
      </c>
      <c r="J118" s="1">
        <v>0</v>
      </c>
      <c r="K118" s="1">
        <f t="shared" si="1"/>
        <v>1</v>
      </c>
    </row>
    <row r="119" spans="1:11" x14ac:dyDescent="0.4">
      <c r="A119" t="s">
        <v>9</v>
      </c>
      <c r="B119" t="s">
        <v>10</v>
      </c>
      <c r="C119" t="s">
        <v>11</v>
      </c>
      <c r="D119" t="s">
        <v>12</v>
      </c>
      <c r="E119" t="s">
        <v>112</v>
      </c>
      <c r="F119" t="s">
        <v>113</v>
      </c>
      <c r="G119" t="s">
        <v>16</v>
      </c>
      <c r="H119" t="s">
        <v>15</v>
      </c>
      <c r="I119" s="1">
        <v>0</v>
      </c>
      <c r="J119" s="1">
        <v>1</v>
      </c>
      <c r="K119" s="1">
        <f t="shared" si="1"/>
        <v>1</v>
      </c>
    </row>
    <row r="120" spans="1:11" hidden="1" x14ac:dyDescent="0.4">
      <c r="A120" t="s">
        <v>9</v>
      </c>
      <c r="B120" t="s">
        <v>10</v>
      </c>
      <c r="C120" t="s">
        <v>11</v>
      </c>
      <c r="D120" t="s">
        <v>12</v>
      </c>
      <c r="E120" t="s">
        <v>112</v>
      </c>
      <c r="F120" t="s">
        <v>113</v>
      </c>
      <c r="G120" t="s">
        <v>16</v>
      </c>
      <c r="H120" t="s">
        <v>8</v>
      </c>
      <c r="I120" s="1">
        <v>0</v>
      </c>
      <c r="J120" s="1">
        <v>1</v>
      </c>
      <c r="K120" s="1">
        <f t="shared" si="1"/>
        <v>1</v>
      </c>
    </row>
    <row r="121" spans="1:11" x14ac:dyDescent="0.4">
      <c r="A121" t="s">
        <v>9</v>
      </c>
      <c r="B121" t="s">
        <v>10</v>
      </c>
      <c r="C121" t="s">
        <v>11</v>
      </c>
      <c r="D121" t="s">
        <v>12</v>
      </c>
      <c r="E121" t="s">
        <v>114</v>
      </c>
      <c r="F121" t="s">
        <v>115</v>
      </c>
      <c r="G121" t="s">
        <v>16</v>
      </c>
      <c r="H121" t="s">
        <v>15</v>
      </c>
      <c r="I121" s="1">
        <v>0</v>
      </c>
      <c r="J121" s="1">
        <v>1</v>
      </c>
      <c r="K121" s="1">
        <f t="shared" si="1"/>
        <v>1</v>
      </c>
    </row>
    <row r="122" spans="1:11" x14ac:dyDescent="0.4">
      <c r="A122" t="s">
        <v>9</v>
      </c>
      <c r="B122" t="s">
        <v>10</v>
      </c>
      <c r="C122" t="s">
        <v>11</v>
      </c>
      <c r="D122" t="s">
        <v>12</v>
      </c>
      <c r="E122" t="s">
        <v>114</v>
      </c>
      <c r="F122" t="s">
        <v>115</v>
      </c>
      <c r="G122" t="s">
        <v>16</v>
      </c>
      <c r="H122" t="s">
        <v>28</v>
      </c>
      <c r="I122" s="1">
        <v>1</v>
      </c>
      <c r="J122" s="1">
        <v>0</v>
      </c>
      <c r="K122" s="1">
        <f t="shared" si="1"/>
        <v>1</v>
      </c>
    </row>
    <row r="123" spans="1:11" hidden="1" x14ac:dyDescent="0.4">
      <c r="A123" t="s">
        <v>9</v>
      </c>
      <c r="B123" t="s">
        <v>10</v>
      </c>
      <c r="C123" t="s">
        <v>11</v>
      </c>
      <c r="D123" t="s">
        <v>12</v>
      </c>
      <c r="E123" t="s">
        <v>114</v>
      </c>
      <c r="F123" t="s">
        <v>115</v>
      </c>
      <c r="G123" t="s">
        <v>16</v>
      </c>
      <c r="H123" t="s">
        <v>8</v>
      </c>
      <c r="I123" s="1">
        <v>1</v>
      </c>
      <c r="J123" s="1">
        <v>1</v>
      </c>
      <c r="K123" s="1">
        <f t="shared" si="1"/>
        <v>2</v>
      </c>
    </row>
    <row r="124" spans="1:11" x14ac:dyDescent="0.4">
      <c r="A124" t="s">
        <v>9</v>
      </c>
      <c r="B124" t="s">
        <v>10</v>
      </c>
      <c r="C124" t="s">
        <v>11</v>
      </c>
      <c r="D124" t="s">
        <v>12</v>
      </c>
      <c r="E124" t="s">
        <v>116</v>
      </c>
      <c r="F124" t="s">
        <v>117</v>
      </c>
      <c r="G124" t="s">
        <v>16</v>
      </c>
      <c r="H124" t="s">
        <v>17</v>
      </c>
      <c r="I124" s="1">
        <v>0</v>
      </c>
      <c r="J124" s="1">
        <v>1</v>
      </c>
      <c r="K124" s="1">
        <f t="shared" si="1"/>
        <v>1</v>
      </c>
    </row>
    <row r="125" spans="1:11" x14ac:dyDescent="0.4">
      <c r="A125" t="s">
        <v>9</v>
      </c>
      <c r="B125" t="s">
        <v>10</v>
      </c>
      <c r="C125" t="s">
        <v>11</v>
      </c>
      <c r="D125" t="s">
        <v>12</v>
      </c>
      <c r="E125" t="s">
        <v>116</v>
      </c>
      <c r="F125" t="s">
        <v>117</v>
      </c>
      <c r="G125" t="s">
        <v>16</v>
      </c>
      <c r="H125" t="s">
        <v>51</v>
      </c>
      <c r="I125" s="1">
        <v>1</v>
      </c>
      <c r="J125" s="1">
        <v>0</v>
      </c>
      <c r="K125" s="1">
        <f t="shared" si="1"/>
        <v>1</v>
      </c>
    </row>
    <row r="126" spans="1:11" hidden="1" x14ac:dyDescent="0.4">
      <c r="A126" t="s">
        <v>9</v>
      </c>
      <c r="B126" t="s">
        <v>10</v>
      </c>
      <c r="C126" t="s">
        <v>11</v>
      </c>
      <c r="D126" t="s">
        <v>12</v>
      </c>
      <c r="E126" t="s">
        <v>116</v>
      </c>
      <c r="F126" t="s">
        <v>117</v>
      </c>
      <c r="G126" t="s">
        <v>16</v>
      </c>
      <c r="H126" t="s">
        <v>8</v>
      </c>
      <c r="I126" s="1">
        <v>1</v>
      </c>
      <c r="J126" s="1">
        <v>1</v>
      </c>
      <c r="K126" s="1">
        <f t="shared" si="1"/>
        <v>2</v>
      </c>
    </row>
    <row r="127" spans="1:11" hidden="1" x14ac:dyDescent="0.4">
      <c r="A127" t="s">
        <v>9</v>
      </c>
      <c r="B127" t="s">
        <v>10</v>
      </c>
      <c r="C127" t="s">
        <v>11</v>
      </c>
      <c r="D127" t="s">
        <v>12</v>
      </c>
      <c r="E127" t="s">
        <v>118</v>
      </c>
      <c r="F127" t="s">
        <v>119</v>
      </c>
      <c r="G127" t="s">
        <v>16</v>
      </c>
      <c r="H127" t="s">
        <v>8</v>
      </c>
      <c r="I127" s="1">
        <v>1</v>
      </c>
      <c r="J127" s="1">
        <v>0</v>
      </c>
      <c r="K127" s="1">
        <f t="shared" si="1"/>
        <v>1</v>
      </c>
    </row>
    <row r="128" spans="1:11" x14ac:dyDescent="0.4">
      <c r="A128" t="s">
        <v>9</v>
      </c>
      <c r="B128" t="s">
        <v>10</v>
      </c>
      <c r="C128" t="s">
        <v>11</v>
      </c>
      <c r="D128" t="s">
        <v>12</v>
      </c>
      <c r="E128" t="s">
        <v>118</v>
      </c>
      <c r="F128" t="s">
        <v>119</v>
      </c>
      <c r="G128" t="s">
        <v>16</v>
      </c>
      <c r="H128" t="s">
        <v>23</v>
      </c>
      <c r="I128" s="1">
        <v>1</v>
      </c>
      <c r="J128" s="1">
        <v>0</v>
      </c>
      <c r="K128" s="1">
        <f t="shared" si="1"/>
        <v>1</v>
      </c>
    </row>
    <row r="129" spans="1:11" x14ac:dyDescent="0.4">
      <c r="A129" t="s">
        <v>9</v>
      </c>
      <c r="B129" t="s">
        <v>10</v>
      </c>
      <c r="C129" t="s">
        <v>11</v>
      </c>
      <c r="D129" t="s">
        <v>12</v>
      </c>
      <c r="E129" t="s">
        <v>120</v>
      </c>
      <c r="F129" t="s">
        <v>121</v>
      </c>
      <c r="G129" t="s">
        <v>16</v>
      </c>
      <c r="H129" t="s">
        <v>28</v>
      </c>
      <c r="I129" s="1">
        <v>1</v>
      </c>
      <c r="J129" s="1">
        <v>0</v>
      </c>
      <c r="K129" s="1">
        <f t="shared" si="1"/>
        <v>1</v>
      </c>
    </row>
    <row r="130" spans="1:11" hidden="1" x14ac:dyDescent="0.4">
      <c r="A130" t="s">
        <v>9</v>
      </c>
      <c r="B130" t="s">
        <v>10</v>
      </c>
      <c r="C130" t="s">
        <v>11</v>
      </c>
      <c r="D130" t="s">
        <v>12</v>
      </c>
      <c r="E130" t="s">
        <v>120</v>
      </c>
      <c r="F130" t="s">
        <v>121</v>
      </c>
      <c r="G130" t="s">
        <v>16</v>
      </c>
      <c r="H130" t="s">
        <v>8</v>
      </c>
      <c r="I130" s="1">
        <v>1</v>
      </c>
      <c r="J130" s="1">
        <v>0</v>
      </c>
      <c r="K130" s="1">
        <f t="shared" si="1"/>
        <v>1</v>
      </c>
    </row>
    <row r="131" spans="1:11" x14ac:dyDescent="0.4">
      <c r="A131" t="s">
        <v>9</v>
      </c>
      <c r="B131" t="s">
        <v>10</v>
      </c>
      <c r="C131" t="s">
        <v>11</v>
      </c>
      <c r="D131" t="s">
        <v>12</v>
      </c>
      <c r="E131" t="s">
        <v>122</v>
      </c>
      <c r="F131" t="s">
        <v>123</v>
      </c>
      <c r="G131" t="s">
        <v>16</v>
      </c>
      <c r="H131" t="s">
        <v>17</v>
      </c>
      <c r="I131" s="1">
        <v>0</v>
      </c>
      <c r="J131" s="1">
        <v>1</v>
      </c>
      <c r="K131" s="1">
        <f t="shared" ref="K131:K194" si="2">SUM(I131,J131)</f>
        <v>1</v>
      </c>
    </row>
    <row r="132" spans="1:11" hidden="1" x14ac:dyDescent="0.4">
      <c r="A132" t="s">
        <v>9</v>
      </c>
      <c r="B132" t="s">
        <v>10</v>
      </c>
      <c r="C132" t="s">
        <v>11</v>
      </c>
      <c r="D132" t="s">
        <v>12</v>
      </c>
      <c r="E132" t="s">
        <v>122</v>
      </c>
      <c r="F132" t="s">
        <v>123</v>
      </c>
      <c r="G132" t="s">
        <v>16</v>
      </c>
      <c r="H132" t="s">
        <v>8</v>
      </c>
      <c r="I132" s="1">
        <v>0</v>
      </c>
      <c r="J132" s="1">
        <v>1</v>
      </c>
      <c r="K132" s="1">
        <f t="shared" si="2"/>
        <v>1</v>
      </c>
    </row>
    <row r="133" spans="1:11" x14ac:dyDescent="0.4">
      <c r="A133" t="s">
        <v>9</v>
      </c>
      <c r="B133" t="s">
        <v>10</v>
      </c>
      <c r="C133" t="s">
        <v>11</v>
      </c>
      <c r="D133" t="s">
        <v>12</v>
      </c>
      <c r="E133" t="s">
        <v>124</v>
      </c>
      <c r="F133" t="s">
        <v>125</v>
      </c>
      <c r="G133" t="s">
        <v>16</v>
      </c>
      <c r="H133" t="s">
        <v>15</v>
      </c>
      <c r="I133" s="1">
        <v>0</v>
      </c>
      <c r="J133" s="1">
        <v>1</v>
      </c>
      <c r="K133" s="1">
        <f t="shared" si="2"/>
        <v>1</v>
      </c>
    </row>
    <row r="134" spans="1:11" hidden="1" x14ac:dyDescent="0.4">
      <c r="A134" t="s">
        <v>9</v>
      </c>
      <c r="B134" t="s">
        <v>10</v>
      </c>
      <c r="C134" t="s">
        <v>11</v>
      </c>
      <c r="D134" t="s">
        <v>12</v>
      </c>
      <c r="E134" t="s">
        <v>124</v>
      </c>
      <c r="F134" t="s">
        <v>125</v>
      </c>
      <c r="G134" t="s">
        <v>16</v>
      </c>
      <c r="H134" t="s">
        <v>8</v>
      </c>
      <c r="I134" s="1">
        <v>1</v>
      </c>
      <c r="J134" s="1">
        <v>1</v>
      </c>
      <c r="K134" s="1">
        <f t="shared" si="2"/>
        <v>2</v>
      </c>
    </row>
    <row r="135" spans="1:11" x14ac:dyDescent="0.4">
      <c r="A135" t="s">
        <v>9</v>
      </c>
      <c r="B135" t="s">
        <v>10</v>
      </c>
      <c r="C135" t="s">
        <v>11</v>
      </c>
      <c r="D135" t="s">
        <v>12</v>
      </c>
      <c r="E135" t="s">
        <v>124</v>
      </c>
      <c r="F135" t="s">
        <v>125</v>
      </c>
      <c r="G135" t="s">
        <v>16</v>
      </c>
      <c r="H135" t="s">
        <v>23</v>
      </c>
      <c r="I135" s="1">
        <v>1</v>
      </c>
      <c r="J135" s="1">
        <v>0</v>
      </c>
      <c r="K135" s="1">
        <f t="shared" si="2"/>
        <v>1</v>
      </c>
    </row>
    <row r="136" spans="1:11" x14ac:dyDescent="0.4">
      <c r="A136" t="s">
        <v>9</v>
      </c>
      <c r="B136" t="s">
        <v>10</v>
      </c>
      <c r="C136" t="s">
        <v>11</v>
      </c>
      <c r="D136" t="s">
        <v>12</v>
      </c>
      <c r="E136" t="s">
        <v>126</v>
      </c>
      <c r="F136" t="s">
        <v>127</v>
      </c>
      <c r="G136" t="s">
        <v>16</v>
      </c>
      <c r="H136" t="s">
        <v>15</v>
      </c>
      <c r="I136" s="1">
        <v>1</v>
      </c>
      <c r="J136" s="1">
        <v>0</v>
      </c>
      <c r="K136" s="1">
        <f t="shared" si="2"/>
        <v>1</v>
      </c>
    </row>
    <row r="137" spans="1:11" hidden="1" x14ac:dyDescent="0.4">
      <c r="A137" t="s">
        <v>9</v>
      </c>
      <c r="B137" t="s">
        <v>10</v>
      </c>
      <c r="C137" t="s">
        <v>11</v>
      </c>
      <c r="D137" t="s">
        <v>12</v>
      </c>
      <c r="E137" t="s">
        <v>126</v>
      </c>
      <c r="F137" t="s">
        <v>127</v>
      </c>
      <c r="G137" t="s">
        <v>16</v>
      </c>
      <c r="H137" t="s">
        <v>8</v>
      </c>
      <c r="I137" s="1">
        <v>1</v>
      </c>
      <c r="J137" s="1">
        <v>0</v>
      </c>
      <c r="K137" s="1">
        <f t="shared" si="2"/>
        <v>1</v>
      </c>
    </row>
    <row r="138" spans="1:11" x14ac:dyDescent="0.4">
      <c r="A138" t="s">
        <v>9</v>
      </c>
      <c r="B138" t="s">
        <v>10</v>
      </c>
      <c r="C138" t="s">
        <v>11</v>
      </c>
      <c r="D138" t="s">
        <v>12</v>
      </c>
      <c r="E138" t="s">
        <v>128</v>
      </c>
      <c r="F138" t="s">
        <v>129</v>
      </c>
      <c r="G138" t="s">
        <v>16</v>
      </c>
      <c r="H138" t="s">
        <v>17</v>
      </c>
      <c r="I138" s="1">
        <v>1</v>
      </c>
      <c r="J138" s="1">
        <v>0</v>
      </c>
      <c r="K138" s="1">
        <f t="shared" si="2"/>
        <v>1</v>
      </c>
    </row>
    <row r="139" spans="1:11" hidden="1" x14ac:dyDescent="0.4">
      <c r="A139" t="s">
        <v>9</v>
      </c>
      <c r="B139" t="s">
        <v>10</v>
      </c>
      <c r="C139" t="s">
        <v>11</v>
      </c>
      <c r="D139" t="s">
        <v>12</v>
      </c>
      <c r="E139" t="s">
        <v>128</v>
      </c>
      <c r="F139" t="s">
        <v>129</v>
      </c>
      <c r="G139" t="s">
        <v>16</v>
      </c>
      <c r="H139" t="s">
        <v>8</v>
      </c>
      <c r="I139" s="1">
        <v>1</v>
      </c>
      <c r="J139" s="1">
        <v>0</v>
      </c>
      <c r="K139" s="1">
        <f t="shared" si="2"/>
        <v>1</v>
      </c>
    </row>
    <row r="140" spans="1:11" hidden="1" x14ac:dyDescent="0.4">
      <c r="A140" t="s">
        <v>9</v>
      </c>
      <c r="B140" t="s">
        <v>10</v>
      </c>
      <c r="C140" t="s">
        <v>11</v>
      </c>
      <c r="D140" t="s">
        <v>12</v>
      </c>
      <c r="E140" t="s">
        <v>130</v>
      </c>
      <c r="F140" t="s">
        <v>131</v>
      </c>
      <c r="G140" t="s">
        <v>16</v>
      </c>
      <c r="H140" t="s">
        <v>8</v>
      </c>
      <c r="I140" s="1">
        <v>1</v>
      </c>
      <c r="J140" s="1">
        <v>0</v>
      </c>
      <c r="K140" s="1">
        <f t="shared" si="2"/>
        <v>1</v>
      </c>
    </row>
    <row r="141" spans="1:11" x14ac:dyDescent="0.4">
      <c r="A141" t="s">
        <v>9</v>
      </c>
      <c r="B141" t="s">
        <v>10</v>
      </c>
      <c r="C141" t="s">
        <v>11</v>
      </c>
      <c r="D141" t="s">
        <v>12</v>
      </c>
      <c r="E141" t="s">
        <v>130</v>
      </c>
      <c r="F141" t="s">
        <v>131</v>
      </c>
      <c r="G141" t="s">
        <v>16</v>
      </c>
      <c r="H141" t="s">
        <v>23</v>
      </c>
      <c r="I141" s="1">
        <v>1</v>
      </c>
      <c r="J141" s="1">
        <v>0</v>
      </c>
      <c r="K141" s="1">
        <f t="shared" si="2"/>
        <v>1</v>
      </c>
    </row>
    <row r="142" spans="1:11" x14ac:dyDescent="0.4">
      <c r="A142" t="s">
        <v>9</v>
      </c>
      <c r="B142" t="s">
        <v>10</v>
      </c>
      <c r="C142" t="s">
        <v>11</v>
      </c>
      <c r="D142" t="s">
        <v>12</v>
      </c>
      <c r="E142" t="s">
        <v>132</v>
      </c>
      <c r="F142" t="s">
        <v>133</v>
      </c>
      <c r="G142" t="s">
        <v>16</v>
      </c>
      <c r="H142" t="s">
        <v>38</v>
      </c>
      <c r="I142" s="1">
        <v>1</v>
      </c>
      <c r="J142" s="1">
        <v>0</v>
      </c>
      <c r="K142" s="1">
        <f t="shared" si="2"/>
        <v>1</v>
      </c>
    </row>
    <row r="143" spans="1:11" hidden="1" x14ac:dyDescent="0.4">
      <c r="A143" t="s">
        <v>9</v>
      </c>
      <c r="B143" t="s">
        <v>10</v>
      </c>
      <c r="C143" t="s">
        <v>11</v>
      </c>
      <c r="D143" t="s">
        <v>12</v>
      </c>
      <c r="E143" t="s">
        <v>132</v>
      </c>
      <c r="F143" t="s">
        <v>133</v>
      </c>
      <c r="G143" t="s">
        <v>16</v>
      </c>
      <c r="H143" t="s">
        <v>8</v>
      </c>
      <c r="I143" s="1">
        <v>1</v>
      </c>
      <c r="J143" s="1">
        <v>0</v>
      </c>
      <c r="K143" s="1">
        <f t="shared" si="2"/>
        <v>1</v>
      </c>
    </row>
    <row r="144" spans="1:11" x14ac:dyDescent="0.4">
      <c r="A144" t="s">
        <v>9</v>
      </c>
      <c r="B144" t="s">
        <v>10</v>
      </c>
      <c r="C144" t="s">
        <v>11</v>
      </c>
      <c r="D144" t="s">
        <v>12</v>
      </c>
      <c r="E144" t="s">
        <v>134</v>
      </c>
      <c r="F144" t="s">
        <v>135</v>
      </c>
      <c r="G144" t="s">
        <v>16</v>
      </c>
      <c r="H144" t="s">
        <v>17</v>
      </c>
      <c r="I144" s="1">
        <v>0</v>
      </c>
      <c r="J144" s="1">
        <v>1</v>
      </c>
      <c r="K144" s="1">
        <f t="shared" si="2"/>
        <v>1</v>
      </c>
    </row>
    <row r="145" spans="1:11" hidden="1" x14ac:dyDescent="0.4">
      <c r="A145" t="s">
        <v>9</v>
      </c>
      <c r="B145" t="s">
        <v>10</v>
      </c>
      <c r="C145" t="s">
        <v>11</v>
      </c>
      <c r="D145" t="s">
        <v>12</v>
      </c>
      <c r="E145" t="s">
        <v>134</v>
      </c>
      <c r="F145" t="s">
        <v>135</v>
      </c>
      <c r="G145" t="s">
        <v>16</v>
      </c>
      <c r="H145" t="s">
        <v>8</v>
      </c>
      <c r="I145" s="1">
        <v>0</v>
      </c>
      <c r="J145" s="1">
        <v>1</v>
      </c>
      <c r="K145" s="1">
        <f t="shared" si="2"/>
        <v>1</v>
      </c>
    </row>
    <row r="146" spans="1:11" x14ac:dyDescent="0.4">
      <c r="A146" t="s">
        <v>9</v>
      </c>
      <c r="B146" t="s">
        <v>10</v>
      </c>
      <c r="C146" t="s">
        <v>11</v>
      </c>
      <c r="D146" t="s">
        <v>12</v>
      </c>
      <c r="E146" t="s">
        <v>136</v>
      </c>
      <c r="F146" t="s">
        <v>137</v>
      </c>
      <c r="G146" t="s">
        <v>16</v>
      </c>
      <c r="H146" t="s">
        <v>17</v>
      </c>
      <c r="I146" s="1">
        <v>1</v>
      </c>
      <c r="J146" s="1">
        <v>1</v>
      </c>
      <c r="K146" s="1">
        <f t="shared" si="2"/>
        <v>2</v>
      </c>
    </row>
    <row r="147" spans="1:11" hidden="1" x14ac:dyDescent="0.4">
      <c r="A147" t="s">
        <v>9</v>
      </c>
      <c r="B147" t="s">
        <v>10</v>
      </c>
      <c r="C147" t="s">
        <v>11</v>
      </c>
      <c r="D147" t="s">
        <v>12</v>
      </c>
      <c r="E147" t="s">
        <v>136</v>
      </c>
      <c r="F147" t="s">
        <v>137</v>
      </c>
      <c r="G147" t="s">
        <v>16</v>
      </c>
      <c r="H147" t="s">
        <v>8</v>
      </c>
      <c r="I147" s="1">
        <v>3</v>
      </c>
      <c r="J147" s="1">
        <v>1</v>
      </c>
      <c r="K147" s="1">
        <f t="shared" si="2"/>
        <v>4</v>
      </c>
    </row>
    <row r="148" spans="1:11" x14ac:dyDescent="0.4">
      <c r="A148" t="s">
        <v>9</v>
      </c>
      <c r="B148" t="s">
        <v>10</v>
      </c>
      <c r="C148" t="s">
        <v>11</v>
      </c>
      <c r="D148" t="s">
        <v>12</v>
      </c>
      <c r="E148" t="s">
        <v>136</v>
      </c>
      <c r="F148" t="s">
        <v>137</v>
      </c>
      <c r="G148" t="s">
        <v>16</v>
      </c>
      <c r="H148" t="s">
        <v>23</v>
      </c>
      <c r="I148" s="1">
        <v>2</v>
      </c>
      <c r="J148" s="1">
        <v>0</v>
      </c>
      <c r="K148" s="1">
        <f t="shared" si="2"/>
        <v>2</v>
      </c>
    </row>
    <row r="149" spans="1:11" x14ac:dyDescent="0.4">
      <c r="A149" t="s">
        <v>9</v>
      </c>
      <c r="B149" t="s">
        <v>10</v>
      </c>
      <c r="C149" t="s">
        <v>11</v>
      </c>
      <c r="D149" t="s">
        <v>12</v>
      </c>
      <c r="E149" t="s">
        <v>138</v>
      </c>
      <c r="F149" t="s">
        <v>139</v>
      </c>
      <c r="G149" t="s">
        <v>16</v>
      </c>
      <c r="H149" t="s">
        <v>34</v>
      </c>
      <c r="I149" s="1">
        <v>1</v>
      </c>
      <c r="J149" s="1">
        <v>0</v>
      </c>
      <c r="K149" s="1">
        <f t="shared" si="2"/>
        <v>1</v>
      </c>
    </row>
    <row r="150" spans="1:11" x14ac:dyDescent="0.4">
      <c r="A150" t="s">
        <v>9</v>
      </c>
      <c r="B150" t="s">
        <v>10</v>
      </c>
      <c r="C150" t="s">
        <v>11</v>
      </c>
      <c r="D150" t="s">
        <v>12</v>
      </c>
      <c r="E150" t="s">
        <v>138</v>
      </c>
      <c r="F150" t="s">
        <v>139</v>
      </c>
      <c r="G150" t="s">
        <v>16</v>
      </c>
      <c r="H150" t="s">
        <v>15</v>
      </c>
      <c r="I150" s="1">
        <v>1</v>
      </c>
      <c r="J150" s="1">
        <v>0</v>
      </c>
      <c r="K150" s="1">
        <f t="shared" si="2"/>
        <v>1</v>
      </c>
    </row>
    <row r="151" spans="1:11" hidden="1" x14ac:dyDescent="0.4">
      <c r="A151" t="s">
        <v>9</v>
      </c>
      <c r="B151" t="s">
        <v>10</v>
      </c>
      <c r="C151" t="s">
        <v>11</v>
      </c>
      <c r="D151" t="s">
        <v>12</v>
      </c>
      <c r="E151" t="s">
        <v>138</v>
      </c>
      <c r="F151" t="s">
        <v>139</v>
      </c>
      <c r="G151" t="s">
        <v>16</v>
      </c>
      <c r="H151" t="s">
        <v>8</v>
      </c>
      <c r="I151" s="1">
        <v>3</v>
      </c>
      <c r="J151" s="1">
        <v>0</v>
      </c>
      <c r="K151" s="1">
        <f t="shared" si="2"/>
        <v>3</v>
      </c>
    </row>
    <row r="152" spans="1:11" x14ac:dyDescent="0.4">
      <c r="A152" t="s">
        <v>9</v>
      </c>
      <c r="B152" t="s">
        <v>10</v>
      </c>
      <c r="C152" t="s">
        <v>11</v>
      </c>
      <c r="D152" t="s">
        <v>12</v>
      </c>
      <c r="E152" t="s">
        <v>138</v>
      </c>
      <c r="F152" t="s">
        <v>139</v>
      </c>
      <c r="G152" t="s">
        <v>16</v>
      </c>
      <c r="H152" t="s">
        <v>23</v>
      </c>
      <c r="I152" s="1">
        <v>1</v>
      </c>
      <c r="J152" s="1">
        <v>0</v>
      </c>
      <c r="K152" s="1">
        <f t="shared" si="2"/>
        <v>1</v>
      </c>
    </row>
    <row r="153" spans="1:11" hidden="1" x14ac:dyDescent="0.4">
      <c r="A153" t="s">
        <v>9</v>
      </c>
      <c r="B153" t="s">
        <v>10</v>
      </c>
      <c r="C153" t="s">
        <v>11</v>
      </c>
      <c r="D153" t="s">
        <v>12</v>
      </c>
      <c r="E153" t="s">
        <v>140</v>
      </c>
      <c r="F153" t="s">
        <v>141</v>
      </c>
      <c r="G153" t="s">
        <v>16</v>
      </c>
      <c r="H153" t="s">
        <v>8</v>
      </c>
      <c r="I153" s="1">
        <v>1</v>
      </c>
      <c r="J153" s="1">
        <v>0</v>
      </c>
      <c r="K153" s="1">
        <f t="shared" si="2"/>
        <v>1</v>
      </c>
    </row>
    <row r="154" spans="1:11" x14ac:dyDescent="0.4">
      <c r="A154" t="s">
        <v>9</v>
      </c>
      <c r="B154" t="s">
        <v>10</v>
      </c>
      <c r="C154" t="s">
        <v>11</v>
      </c>
      <c r="D154" t="s">
        <v>12</v>
      </c>
      <c r="E154" t="s">
        <v>140</v>
      </c>
      <c r="F154" t="s">
        <v>141</v>
      </c>
      <c r="G154" t="s">
        <v>16</v>
      </c>
      <c r="H154" t="s">
        <v>23</v>
      </c>
      <c r="I154" s="1">
        <v>1</v>
      </c>
      <c r="J154" s="1">
        <v>0</v>
      </c>
      <c r="K154" s="1">
        <f t="shared" si="2"/>
        <v>1</v>
      </c>
    </row>
    <row r="155" spans="1:11" x14ac:dyDescent="0.4">
      <c r="A155" t="s">
        <v>9</v>
      </c>
      <c r="B155" t="s">
        <v>10</v>
      </c>
      <c r="C155" t="s">
        <v>11</v>
      </c>
      <c r="D155" t="s">
        <v>12</v>
      </c>
      <c r="E155" t="s">
        <v>142</v>
      </c>
      <c r="F155" t="s">
        <v>143</v>
      </c>
      <c r="G155" t="s">
        <v>16</v>
      </c>
      <c r="H155" t="s">
        <v>38</v>
      </c>
      <c r="I155" s="1">
        <v>1</v>
      </c>
      <c r="J155" s="1">
        <v>0</v>
      </c>
      <c r="K155" s="1">
        <f t="shared" si="2"/>
        <v>1</v>
      </c>
    </row>
    <row r="156" spans="1:11" hidden="1" x14ac:dyDescent="0.4">
      <c r="A156" t="s">
        <v>9</v>
      </c>
      <c r="B156" t="s">
        <v>10</v>
      </c>
      <c r="C156" t="s">
        <v>11</v>
      </c>
      <c r="D156" t="s">
        <v>12</v>
      </c>
      <c r="E156" t="s">
        <v>142</v>
      </c>
      <c r="F156" t="s">
        <v>143</v>
      </c>
      <c r="G156" t="s">
        <v>16</v>
      </c>
      <c r="H156" t="s">
        <v>8</v>
      </c>
      <c r="I156" s="1">
        <v>2</v>
      </c>
      <c r="J156" s="1">
        <v>0</v>
      </c>
      <c r="K156" s="1">
        <f t="shared" si="2"/>
        <v>2</v>
      </c>
    </row>
    <row r="157" spans="1:11" x14ac:dyDescent="0.4">
      <c r="A157" t="s">
        <v>9</v>
      </c>
      <c r="B157" t="s">
        <v>10</v>
      </c>
      <c r="C157" t="s">
        <v>11</v>
      </c>
      <c r="D157" t="s">
        <v>12</v>
      </c>
      <c r="E157" t="s">
        <v>142</v>
      </c>
      <c r="F157" t="s">
        <v>143</v>
      </c>
      <c r="G157" t="s">
        <v>16</v>
      </c>
      <c r="H157" t="s">
        <v>23</v>
      </c>
      <c r="I157" s="1">
        <v>1</v>
      </c>
      <c r="J157" s="1">
        <v>0</v>
      </c>
      <c r="K157" s="1">
        <f t="shared" si="2"/>
        <v>1</v>
      </c>
    </row>
    <row r="158" spans="1:11" x14ac:dyDescent="0.4">
      <c r="A158" t="s">
        <v>9</v>
      </c>
      <c r="B158" t="s">
        <v>10</v>
      </c>
      <c r="C158" t="s">
        <v>11</v>
      </c>
      <c r="D158" t="s">
        <v>12</v>
      </c>
      <c r="E158" t="s">
        <v>144</v>
      </c>
      <c r="F158" t="s">
        <v>145</v>
      </c>
      <c r="G158" t="s">
        <v>16</v>
      </c>
      <c r="H158" t="s">
        <v>15</v>
      </c>
      <c r="I158" s="1">
        <v>0</v>
      </c>
      <c r="J158" s="1">
        <v>1</v>
      </c>
      <c r="K158" s="1">
        <f t="shared" si="2"/>
        <v>1</v>
      </c>
    </row>
    <row r="159" spans="1:11" x14ac:dyDescent="0.4">
      <c r="A159" t="s">
        <v>9</v>
      </c>
      <c r="B159" t="s">
        <v>10</v>
      </c>
      <c r="C159" t="s">
        <v>11</v>
      </c>
      <c r="D159" t="s">
        <v>12</v>
      </c>
      <c r="E159" t="s">
        <v>144</v>
      </c>
      <c r="F159" t="s">
        <v>145</v>
      </c>
      <c r="G159" t="s">
        <v>16</v>
      </c>
      <c r="H159" t="s">
        <v>31</v>
      </c>
      <c r="I159" s="1">
        <v>1</v>
      </c>
      <c r="J159" s="1">
        <v>0</v>
      </c>
      <c r="K159" s="1">
        <f t="shared" si="2"/>
        <v>1</v>
      </c>
    </row>
    <row r="160" spans="1:11" hidden="1" x14ac:dyDescent="0.4">
      <c r="A160" t="s">
        <v>9</v>
      </c>
      <c r="B160" t="s">
        <v>10</v>
      </c>
      <c r="C160" t="s">
        <v>11</v>
      </c>
      <c r="D160" t="s">
        <v>12</v>
      </c>
      <c r="E160" t="s">
        <v>144</v>
      </c>
      <c r="F160" t="s">
        <v>145</v>
      </c>
      <c r="G160" t="s">
        <v>16</v>
      </c>
      <c r="H160" t="s">
        <v>8</v>
      </c>
      <c r="I160" s="1">
        <v>1</v>
      </c>
      <c r="J160" s="1">
        <v>1</v>
      </c>
      <c r="K160" s="1">
        <f t="shared" si="2"/>
        <v>2</v>
      </c>
    </row>
    <row r="161" spans="1:11" hidden="1" x14ac:dyDescent="0.4">
      <c r="A161" t="s">
        <v>9</v>
      </c>
      <c r="B161" t="s">
        <v>10</v>
      </c>
      <c r="C161" t="s">
        <v>11</v>
      </c>
      <c r="D161" t="s">
        <v>12</v>
      </c>
      <c r="E161" t="s">
        <v>146</v>
      </c>
      <c r="F161" t="s">
        <v>147</v>
      </c>
      <c r="G161" t="s">
        <v>16</v>
      </c>
      <c r="H161" t="s">
        <v>8</v>
      </c>
      <c r="I161" s="1">
        <v>1</v>
      </c>
      <c r="J161" s="1">
        <v>0</v>
      </c>
      <c r="K161" s="1">
        <f t="shared" si="2"/>
        <v>1</v>
      </c>
    </row>
    <row r="162" spans="1:11" x14ac:dyDescent="0.4">
      <c r="A162" t="s">
        <v>9</v>
      </c>
      <c r="B162" t="s">
        <v>10</v>
      </c>
      <c r="C162" t="s">
        <v>11</v>
      </c>
      <c r="D162" t="s">
        <v>12</v>
      </c>
      <c r="E162" t="s">
        <v>146</v>
      </c>
      <c r="F162" t="s">
        <v>147</v>
      </c>
      <c r="G162" t="s">
        <v>16</v>
      </c>
      <c r="H162" t="s">
        <v>23</v>
      </c>
      <c r="I162" s="1">
        <v>1</v>
      </c>
      <c r="J162" s="1">
        <v>0</v>
      </c>
      <c r="K162" s="1">
        <f t="shared" si="2"/>
        <v>1</v>
      </c>
    </row>
    <row r="163" spans="1:11" x14ac:dyDescent="0.4">
      <c r="A163" t="s">
        <v>9</v>
      </c>
      <c r="B163" t="s">
        <v>10</v>
      </c>
      <c r="C163" t="s">
        <v>11</v>
      </c>
      <c r="D163" t="s">
        <v>12</v>
      </c>
      <c r="E163" t="s">
        <v>148</v>
      </c>
      <c r="F163" t="s">
        <v>149</v>
      </c>
      <c r="G163" t="s">
        <v>16</v>
      </c>
      <c r="H163" t="s">
        <v>17</v>
      </c>
      <c r="I163" s="1">
        <v>1</v>
      </c>
      <c r="J163" s="1">
        <v>1</v>
      </c>
      <c r="K163" s="1">
        <f t="shared" si="2"/>
        <v>2</v>
      </c>
    </row>
    <row r="164" spans="1:11" x14ac:dyDescent="0.4">
      <c r="A164" t="s">
        <v>9</v>
      </c>
      <c r="B164" t="s">
        <v>10</v>
      </c>
      <c r="C164" t="s">
        <v>11</v>
      </c>
      <c r="D164" t="s">
        <v>12</v>
      </c>
      <c r="E164" t="s">
        <v>148</v>
      </c>
      <c r="F164" t="s">
        <v>149</v>
      </c>
      <c r="G164" t="s">
        <v>16</v>
      </c>
      <c r="H164" t="s">
        <v>31</v>
      </c>
      <c r="I164" s="1">
        <v>0</v>
      </c>
      <c r="J164" s="1">
        <v>1</v>
      </c>
      <c r="K164" s="1">
        <f t="shared" si="2"/>
        <v>1</v>
      </c>
    </row>
    <row r="165" spans="1:11" hidden="1" x14ac:dyDescent="0.4">
      <c r="A165" t="s">
        <v>9</v>
      </c>
      <c r="B165" t="s">
        <v>10</v>
      </c>
      <c r="C165" t="s">
        <v>11</v>
      </c>
      <c r="D165" t="s">
        <v>12</v>
      </c>
      <c r="E165" t="s">
        <v>148</v>
      </c>
      <c r="F165" t="s">
        <v>149</v>
      </c>
      <c r="G165" t="s">
        <v>16</v>
      </c>
      <c r="H165" t="s">
        <v>8</v>
      </c>
      <c r="I165" s="1">
        <v>1</v>
      </c>
      <c r="J165" s="1">
        <v>2</v>
      </c>
      <c r="K165" s="1">
        <f t="shared" si="2"/>
        <v>3</v>
      </c>
    </row>
    <row r="166" spans="1:11" x14ac:dyDescent="0.4">
      <c r="A166" t="s">
        <v>9</v>
      </c>
      <c r="B166" t="s">
        <v>10</v>
      </c>
      <c r="C166" t="s">
        <v>11</v>
      </c>
      <c r="D166" t="s">
        <v>12</v>
      </c>
      <c r="E166" t="s">
        <v>150</v>
      </c>
      <c r="F166" t="s">
        <v>151</v>
      </c>
      <c r="G166" t="s">
        <v>16</v>
      </c>
      <c r="H166" t="s">
        <v>15</v>
      </c>
      <c r="I166" s="1">
        <v>1</v>
      </c>
      <c r="J166" s="1">
        <v>0</v>
      </c>
      <c r="K166" s="1">
        <f t="shared" si="2"/>
        <v>1</v>
      </c>
    </row>
    <row r="167" spans="1:11" hidden="1" x14ac:dyDescent="0.4">
      <c r="A167" t="s">
        <v>9</v>
      </c>
      <c r="B167" t="s">
        <v>10</v>
      </c>
      <c r="C167" t="s">
        <v>11</v>
      </c>
      <c r="D167" t="s">
        <v>12</v>
      </c>
      <c r="E167" t="s">
        <v>150</v>
      </c>
      <c r="F167" t="s">
        <v>151</v>
      </c>
      <c r="G167" t="s">
        <v>16</v>
      </c>
      <c r="H167" t="s">
        <v>8</v>
      </c>
      <c r="I167" s="1">
        <v>1</v>
      </c>
      <c r="J167" s="1">
        <v>0</v>
      </c>
      <c r="K167" s="1">
        <f t="shared" si="2"/>
        <v>1</v>
      </c>
    </row>
    <row r="168" spans="1:11" x14ac:dyDescent="0.4">
      <c r="A168" t="s">
        <v>9</v>
      </c>
      <c r="B168" t="s">
        <v>10</v>
      </c>
      <c r="C168" t="s">
        <v>11</v>
      </c>
      <c r="D168" t="s">
        <v>12</v>
      </c>
      <c r="E168" t="s">
        <v>152</v>
      </c>
      <c r="F168" t="s">
        <v>153</v>
      </c>
      <c r="G168" t="s">
        <v>16</v>
      </c>
      <c r="H168" t="s">
        <v>17</v>
      </c>
      <c r="I168" s="1">
        <v>0</v>
      </c>
      <c r="J168" s="1">
        <v>1</v>
      </c>
      <c r="K168" s="1">
        <f t="shared" si="2"/>
        <v>1</v>
      </c>
    </row>
    <row r="169" spans="1:11" hidden="1" x14ac:dyDescent="0.4">
      <c r="A169" t="s">
        <v>9</v>
      </c>
      <c r="B169" t="s">
        <v>10</v>
      </c>
      <c r="C169" t="s">
        <v>11</v>
      </c>
      <c r="D169" t="s">
        <v>12</v>
      </c>
      <c r="E169" t="s">
        <v>152</v>
      </c>
      <c r="F169" t="s">
        <v>153</v>
      </c>
      <c r="G169" t="s">
        <v>16</v>
      </c>
      <c r="H169" t="s">
        <v>8</v>
      </c>
      <c r="I169" s="1">
        <v>0</v>
      </c>
      <c r="J169" s="1">
        <v>1</v>
      </c>
      <c r="K169" s="1">
        <f t="shared" si="2"/>
        <v>1</v>
      </c>
    </row>
    <row r="170" spans="1:11" x14ac:dyDescent="0.4">
      <c r="A170" t="s">
        <v>9</v>
      </c>
      <c r="B170" t="s">
        <v>10</v>
      </c>
      <c r="C170" t="s">
        <v>11</v>
      </c>
      <c r="D170" t="s">
        <v>12</v>
      </c>
      <c r="E170" t="s">
        <v>154</v>
      </c>
      <c r="F170" t="s">
        <v>155</v>
      </c>
      <c r="G170" t="s">
        <v>16</v>
      </c>
      <c r="H170" t="s">
        <v>17</v>
      </c>
      <c r="I170" s="1">
        <v>1</v>
      </c>
      <c r="J170" s="1">
        <v>0</v>
      </c>
      <c r="K170" s="1">
        <f t="shared" si="2"/>
        <v>1</v>
      </c>
    </row>
    <row r="171" spans="1:11" x14ac:dyDescent="0.4">
      <c r="A171" t="s">
        <v>9</v>
      </c>
      <c r="B171" t="s">
        <v>10</v>
      </c>
      <c r="C171" t="s">
        <v>11</v>
      </c>
      <c r="D171" t="s">
        <v>12</v>
      </c>
      <c r="E171" t="s">
        <v>154</v>
      </c>
      <c r="F171" t="s">
        <v>155</v>
      </c>
      <c r="G171" t="s">
        <v>16</v>
      </c>
      <c r="H171" t="s">
        <v>38</v>
      </c>
      <c r="I171" s="1">
        <v>0</v>
      </c>
      <c r="J171" s="1">
        <v>1</v>
      </c>
      <c r="K171" s="1">
        <f t="shared" si="2"/>
        <v>1</v>
      </c>
    </row>
    <row r="172" spans="1:11" hidden="1" x14ac:dyDescent="0.4">
      <c r="A172" t="s">
        <v>9</v>
      </c>
      <c r="B172" t="s">
        <v>10</v>
      </c>
      <c r="C172" t="s">
        <v>11</v>
      </c>
      <c r="D172" t="s">
        <v>12</v>
      </c>
      <c r="E172" t="s">
        <v>154</v>
      </c>
      <c r="F172" t="s">
        <v>155</v>
      </c>
      <c r="G172" t="s">
        <v>16</v>
      </c>
      <c r="H172" t="s">
        <v>8</v>
      </c>
      <c r="I172" s="1">
        <v>1</v>
      </c>
      <c r="J172" s="1">
        <v>1</v>
      </c>
      <c r="K172" s="1">
        <f t="shared" si="2"/>
        <v>2</v>
      </c>
    </row>
    <row r="173" spans="1:11" hidden="1" x14ac:dyDescent="0.4">
      <c r="A173" t="s">
        <v>9</v>
      </c>
      <c r="B173" t="s">
        <v>10</v>
      </c>
      <c r="C173" t="s">
        <v>11</v>
      </c>
      <c r="D173" t="s">
        <v>12</v>
      </c>
      <c r="E173" t="s">
        <v>156</v>
      </c>
      <c r="F173" t="s">
        <v>157</v>
      </c>
      <c r="G173" t="s">
        <v>16</v>
      </c>
      <c r="H173" t="s">
        <v>8</v>
      </c>
      <c r="I173" s="1">
        <v>1</v>
      </c>
      <c r="J173" s="1">
        <v>0</v>
      </c>
      <c r="K173" s="1">
        <f t="shared" si="2"/>
        <v>1</v>
      </c>
    </row>
    <row r="174" spans="1:11" x14ac:dyDescent="0.4">
      <c r="A174" t="s">
        <v>9</v>
      </c>
      <c r="B174" t="s">
        <v>10</v>
      </c>
      <c r="C174" t="s">
        <v>11</v>
      </c>
      <c r="D174" t="s">
        <v>12</v>
      </c>
      <c r="E174" t="s">
        <v>156</v>
      </c>
      <c r="F174" t="s">
        <v>157</v>
      </c>
      <c r="G174" t="s">
        <v>16</v>
      </c>
      <c r="H174" t="s">
        <v>23</v>
      </c>
      <c r="I174" s="1">
        <v>1</v>
      </c>
      <c r="J174" s="1">
        <v>0</v>
      </c>
      <c r="K174" s="1">
        <f t="shared" si="2"/>
        <v>1</v>
      </c>
    </row>
    <row r="175" spans="1:11" x14ac:dyDescent="0.4">
      <c r="A175" t="s">
        <v>9</v>
      </c>
      <c r="B175" t="s">
        <v>10</v>
      </c>
      <c r="C175" t="s">
        <v>11</v>
      </c>
      <c r="D175" t="s">
        <v>12</v>
      </c>
      <c r="E175" t="s">
        <v>158</v>
      </c>
      <c r="F175" t="s">
        <v>159</v>
      </c>
      <c r="G175" t="s">
        <v>16</v>
      </c>
      <c r="H175" t="s">
        <v>37</v>
      </c>
      <c r="I175" s="1">
        <v>1</v>
      </c>
      <c r="J175" s="1">
        <v>0</v>
      </c>
      <c r="K175" s="1">
        <f t="shared" si="2"/>
        <v>1</v>
      </c>
    </row>
    <row r="176" spans="1:11" x14ac:dyDescent="0.4">
      <c r="A176" t="s">
        <v>9</v>
      </c>
      <c r="B176" t="s">
        <v>10</v>
      </c>
      <c r="C176" t="s">
        <v>11</v>
      </c>
      <c r="D176" t="s">
        <v>12</v>
      </c>
      <c r="E176" t="s">
        <v>158</v>
      </c>
      <c r="F176" t="s">
        <v>159</v>
      </c>
      <c r="G176" t="s">
        <v>16</v>
      </c>
      <c r="H176" t="s">
        <v>34</v>
      </c>
      <c r="I176" s="1">
        <v>7</v>
      </c>
      <c r="J176" s="1">
        <v>0</v>
      </c>
      <c r="K176" s="1">
        <f t="shared" si="2"/>
        <v>7</v>
      </c>
    </row>
    <row r="177" spans="1:11" x14ac:dyDescent="0.4">
      <c r="A177" t="s">
        <v>9</v>
      </c>
      <c r="B177" t="s">
        <v>10</v>
      </c>
      <c r="C177" t="s">
        <v>11</v>
      </c>
      <c r="D177" t="s">
        <v>12</v>
      </c>
      <c r="E177" t="s">
        <v>158</v>
      </c>
      <c r="F177" t="s">
        <v>159</v>
      </c>
      <c r="G177" t="s">
        <v>16</v>
      </c>
      <c r="H177" t="s">
        <v>17</v>
      </c>
      <c r="I177" s="1">
        <v>6</v>
      </c>
      <c r="J177" s="1">
        <v>3</v>
      </c>
      <c r="K177" s="1">
        <f t="shared" si="2"/>
        <v>9</v>
      </c>
    </row>
    <row r="178" spans="1:11" x14ac:dyDescent="0.4">
      <c r="A178" t="s">
        <v>9</v>
      </c>
      <c r="B178" t="s">
        <v>10</v>
      </c>
      <c r="C178" t="s">
        <v>11</v>
      </c>
      <c r="D178" t="s">
        <v>12</v>
      </c>
      <c r="E178" t="s">
        <v>158</v>
      </c>
      <c r="F178" t="s">
        <v>159</v>
      </c>
      <c r="G178" t="s">
        <v>16</v>
      </c>
      <c r="H178" t="s">
        <v>15</v>
      </c>
      <c r="I178" s="1">
        <v>5</v>
      </c>
      <c r="J178" s="1">
        <v>1</v>
      </c>
      <c r="K178" s="1">
        <f t="shared" si="2"/>
        <v>6</v>
      </c>
    </row>
    <row r="179" spans="1:11" x14ac:dyDescent="0.4">
      <c r="A179" t="s">
        <v>9</v>
      </c>
      <c r="B179" t="s">
        <v>10</v>
      </c>
      <c r="C179" t="s">
        <v>11</v>
      </c>
      <c r="D179" t="s">
        <v>12</v>
      </c>
      <c r="E179" t="s">
        <v>158</v>
      </c>
      <c r="F179" t="s">
        <v>159</v>
      </c>
      <c r="G179" t="s">
        <v>16</v>
      </c>
      <c r="H179" t="s">
        <v>38</v>
      </c>
      <c r="I179" s="1">
        <v>5</v>
      </c>
      <c r="J179" s="1">
        <v>1</v>
      </c>
      <c r="K179" s="1">
        <f t="shared" si="2"/>
        <v>6</v>
      </c>
    </row>
    <row r="180" spans="1:11" x14ac:dyDescent="0.4">
      <c r="A180" t="s">
        <v>9</v>
      </c>
      <c r="B180" t="s">
        <v>10</v>
      </c>
      <c r="C180" t="s">
        <v>11</v>
      </c>
      <c r="D180" t="s">
        <v>12</v>
      </c>
      <c r="E180" t="s">
        <v>158</v>
      </c>
      <c r="F180" t="s">
        <v>159</v>
      </c>
      <c r="G180" t="s">
        <v>16</v>
      </c>
      <c r="H180" t="s">
        <v>28</v>
      </c>
      <c r="I180" s="1">
        <v>1</v>
      </c>
      <c r="J180" s="1">
        <v>1</v>
      </c>
      <c r="K180" s="1">
        <f t="shared" si="2"/>
        <v>2</v>
      </c>
    </row>
    <row r="181" spans="1:11" x14ac:dyDescent="0.4">
      <c r="A181" t="s">
        <v>9</v>
      </c>
      <c r="B181" t="s">
        <v>10</v>
      </c>
      <c r="C181" t="s">
        <v>11</v>
      </c>
      <c r="D181" t="s">
        <v>12</v>
      </c>
      <c r="E181" t="s">
        <v>158</v>
      </c>
      <c r="F181" t="s">
        <v>159</v>
      </c>
      <c r="G181" t="s">
        <v>16</v>
      </c>
      <c r="H181" t="s">
        <v>160</v>
      </c>
      <c r="I181" s="1">
        <v>1</v>
      </c>
      <c r="J181" s="1">
        <v>0</v>
      </c>
      <c r="K181" s="1">
        <f t="shared" si="2"/>
        <v>1</v>
      </c>
    </row>
    <row r="182" spans="1:11" x14ac:dyDescent="0.4">
      <c r="A182" t="s">
        <v>9</v>
      </c>
      <c r="B182" t="s">
        <v>10</v>
      </c>
      <c r="C182" t="s">
        <v>11</v>
      </c>
      <c r="D182" t="s">
        <v>12</v>
      </c>
      <c r="E182" t="s">
        <v>158</v>
      </c>
      <c r="F182" t="s">
        <v>159</v>
      </c>
      <c r="G182" t="s">
        <v>16</v>
      </c>
      <c r="H182" t="s">
        <v>31</v>
      </c>
      <c r="I182" s="1">
        <v>3</v>
      </c>
      <c r="J182" s="1">
        <v>0</v>
      </c>
      <c r="K182" s="1">
        <f t="shared" si="2"/>
        <v>3</v>
      </c>
    </row>
    <row r="183" spans="1:11" hidden="1" x14ac:dyDescent="0.4">
      <c r="A183" t="s">
        <v>9</v>
      </c>
      <c r="B183" t="s">
        <v>10</v>
      </c>
      <c r="C183" t="s">
        <v>11</v>
      </c>
      <c r="D183" t="s">
        <v>12</v>
      </c>
      <c r="E183" t="s">
        <v>158</v>
      </c>
      <c r="F183" t="s">
        <v>159</v>
      </c>
      <c r="G183" t="s">
        <v>16</v>
      </c>
      <c r="H183" t="s">
        <v>8</v>
      </c>
      <c r="I183" s="1">
        <v>35</v>
      </c>
      <c r="J183" s="1">
        <v>7</v>
      </c>
      <c r="K183" s="1">
        <f t="shared" si="2"/>
        <v>42</v>
      </c>
    </row>
    <row r="184" spans="1:11" x14ac:dyDescent="0.4">
      <c r="A184" t="s">
        <v>9</v>
      </c>
      <c r="B184" t="s">
        <v>10</v>
      </c>
      <c r="C184" t="s">
        <v>11</v>
      </c>
      <c r="D184" t="s">
        <v>12</v>
      </c>
      <c r="E184" t="s">
        <v>158</v>
      </c>
      <c r="F184" t="s">
        <v>159</v>
      </c>
      <c r="G184" t="s">
        <v>16</v>
      </c>
      <c r="H184" t="s">
        <v>23</v>
      </c>
      <c r="I184" s="1">
        <v>6</v>
      </c>
      <c r="J184" s="1">
        <v>1</v>
      </c>
      <c r="K184" s="1">
        <f t="shared" si="2"/>
        <v>7</v>
      </c>
    </row>
    <row r="185" spans="1:11" x14ac:dyDescent="0.4">
      <c r="A185" t="s">
        <v>9</v>
      </c>
      <c r="B185" t="s">
        <v>10</v>
      </c>
      <c r="C185" t="s">
        <v>11</v>
      </c>
      <c r="D185" t="s">
        <v>12</v>
      </c>
      <c r="E185" t="s">
        <v>161</v>
      </c>
      <c r="F185" t="s">
        <v>162</v>
      </c>
      <c r="G185" t="s">
        <v>16</v>
      </c>
      <c r="H185" t="s">
        <v>34</v>
      </c>
      <c r="I185" s="1">
        <v>1</v>
      </c>
      <c r="J185" s="1">
        <v>0</v>
      </c>
      <c r="K185" s="1">
        <f t="shared" si="2"/>
        <v>1</v>
      </c>
    </row>
    <row r="186" spans="1:11" x14ac:dyDescent="0.4">
      <c r="A186" t="s">
        <v>9</v>
      </c>
      <c r="B186" t="s">
        <v>10</v>
      </c>
      <c r="C186" t="s">
        <v>11</v>
      </c>
      <c r="D186" t="s">
        <v>12</v>
      </c>
      <c r="E186" t="s">
        <v>161</v>
      </c>
      <c r="F186" t="s">
        <v>162</v>
      </c>
      <c r="G186" t="s">
        <v>16</v>
      </c>
      <c r="H186" t="s">
        <v>17</v>
      </c>
      <c r="I186" s="1">
        <v>2</v>
      </c>
      <c r="J186" s="1">
        <v>0</v>
      </c>
      <c r="K186" s="1">
        <f t="shared" si="2"/>
        <v>2</v>
      </c>
    </row>
    <row r="187" spans="1:11" hidden="1" x14ac:dyDescent="0.4">
      <c r="A187" t="s">
        <v>9</v>
      </c>
      <c r="B187" t="s">
        <v>10</v>
      </c>
      <c r="C187" t="s">
        <v>11</v>
      </c>
      <c r="D187" t="s">
        <v>12</v>
      </c>
      <c r="E187" t="s">
        <v>161</v>
      </c>
      <c r="F187" t="s">
        <v>162</v>
      </c>
      <c r="G187" t="s">
        <v>16</v>
      </c>
      <c r="H187" t="s">
        <v>8</v>
      </c>
      <c r="I187" s="1">
        <v>3</v>
      </c>
      <c r="J187" s="1">
        <v>0</v>
      </c>
      <c r="K187" s="1">
        <f t="shared" si="2"/>
        <v>3</v>
      </c>
    </row>
    <row r="188" spans="1:11" x14ac:dyDescent="0.4">
      <c r="A188" t="s">
        <v>9</v>
      </c>
      <c r="B188" t="s">
        <v>10</v>
      </c>
      <c r="C188" t="s">
        <v>11</v>
      </c>
      <c r="D188" t="s">
        <v>12</v>
      </c>
      <c r="E188" t="s">
        <v>163</v>
      </c>
      <c r="F188" t="s">
        <v>164</v>
      </c>
      <c r="G188" t="s">
        <v>16</v>
      </c>
      <c r="H188" t="s">
        <v>34</v>
      </c>
      <c r="I188" s="1">
        <v>1</v>
      </c>
      <c r="J188" s="1">
        <v>0</v>
      </c>
      <c r="K188" s="1">
        <f t="shared" si="2"/>
        <v>1</v>
      </c>
    </row>
    <row r="189" spans="1:11" hidden="1" x14ac:dyDescent="0.4">
      <c r="A189" t="s">
        <v>9</v>
      </c>
      <c r="B189" t="s">
        <v>10</v>
      </c>
      <c r="C189" t="s">
        <v>11</v>
      </c>
      <c r="D189" t="s">
        <v>12</v>
      </c>
      <c r="E189" t="s">
        <v>163</v>
      </c>
      <c r="F189" t="s">
        <v>164</v>
      </c>
      <c r="G189" t="s">
        <v>16</v>
      </c>
      <c r="H189" t="s">
        <v>8</v>
      </c>
      <c r="I189" s="1">
        <v>1</v>
      </c>
      <c r="J189" s="1">
        <v>0</v>
      </c>
      <c r="K189" s="1">
        <f t="shared" si="2"/>
        <v>1</v>
      </c>
    </row>
    <row r="190" spans="1:11" x14ac:dyDescent="0.4">
      <c r="A190" t="s">
        <v>9</v>
      </c>
      <c r="B190" t="s">
        <v>10</v>
      </c>
      <c r="C190" t="s">
        <v>11</v>
      </c>
      <c r="D190" t="s">
        <v>12</v>
      </c>
      <c r="E190" t="s">
        <v>165</v>
      </c>
      <c r="F190" t="s">
        <v>166</v>
      </c>
      <c r="G190" t="s">
        <v>16</v>
      </c>
      <c r="H190" t="s">
        <v>17</v>
      </c>
      <c r="I190" s="1">
        <v>1</v>
      </c>
      <c r="J190" s="1">
        <v>0</v>
      </c>
      <c r="K190" s="1">
        <f t="shared" si="2"/>
        <v>1</v>
      </c>
    </row>
    <row r="191" spans="1:11" x14ac:dyDescent="0.4">
      <c r="A191" t="s">
        <v>9</v>
      </c>
      <c r="B191" t="s">
        <v>10</v>
      </c>
      <c r="C191" t="s">
        <v>11</v>
      </c>
      <c r="D191" t="s">
        <v>12</v>
      </c>
      <c r="E191" t="s">
        <v>165</v>
      </c>
      <c r="F191" t="s">
        <v>166</v>
      </c>
      <c r="G191" t="s">
        <v>16</v>
      </c>
      <c r="H191" t="s">
        <v>39</v>
      </c>
      <c r="I191" s="1">
        <v>1</v>
      </c>
      <c r="J191" s="1">
        <v>0</v>
      </c>
      <c r="K191" s="1">
        <f t="shared" si="2"/>
        <v>1</v>
      </c>
    </row>
    <row r="192" spans="1:11" x14ac:dyDescent="0.4">
      <c r="A192" t="s">
        <v>9</v>
      </c>
      <c r="B192" t="s">
        <v>10</v>
      </c>
      <c r="C192" t="s">
        <v>11</v>
      </c>
      <c r="D192" t="s">
        <v>12</v>
      </c>
      <c r="E192" t="s">
        <v>165</v>
      </c>
      <c r="F192" t="s">
        <v>166</v>
      </c>
      <c r="G192" t="s">
        <v>16</v>
      </c>
      <c r="H192" t="s">
        <v>31</v>
      </c>
      <c r="I192" s="1">
        <v>2</v>
      </c>
      <c r="J192" s="1">
        <v>0</v>
      </c>
      <c r="K192" s="1">
        <f t="shared" si="2"/>
        <v>2</v>
      </c>
    </row>
    <row r="193" spans="1:11" hidden="1" x14ac:dyDescent="0.4">
      <c r="A193" t="s">
        <v>9</v>
      </c>
      <c r="B193" t="s">
        <v>10</v>
      </c>
      <c r="C193" t="s">
        <v>11</v>
      </c>
      <c r="D193" t="s">
        <v>12</v>
      </c>
      <c r="E193" t="s">
        <v>165</v>
      </c>
      <c r="F193" t="s">
        <v>166</v>
      </c>
      <c r="G193" t="s">
        <v>16</v>
      </c>
      <c r="H193" t="s">
        <v>8</v>
      </c>
      <c r="I193" s="1">
        <v>4</v>
      </c>
      <c r="J193" s="1">
        <v>0</v>
      </c>
      <c r="K193" s="1">
        <f t="shared" si="2"/>
        <v>4</v>
      </c>
    </row>
    <row r="194" spans="1:11" x14ac:dyDescent="0.4">
      <c r="A194" t="s">
        <v>9</v>
      </c>
      <c r="B194" t="s">
        <v>10</v>
      </c>
      <c r="C194" t="s">
        <v>11</v>
      </c>
      <c r="D194" t="s">
        <v>12</v>
      </c>
      <c r="E194" t="s">
        <v>167</v>
      </c>
      <c r="F194" t="s">
        <v>168</v>
      </c>
      <c r="G194" t="s">
        <v>16</v>
      </c>
      <c r="H194" t="s">
        <v>17</v>
      </c>
      <c r="I194" s="1">
        <v>1</v>
      </c>
      <c r="J194" s="1">
        <v>0</v>
      </c>
      <c r="K194" s="1">
        <f t="shared" si="2"/>
        <v>1</v>
      </c>
    </row>
    <row r="195" spans="1:11" hidden="1" x14ac:dyDescent="0.4">
      <c r="A195" t="s">
        <v>9</v>
      </c>
      <c r="B195" t="s">
        <v>10</v>
      </c>
      <c r="C195" t="s">
        <v>11</v>
      </c>
      <c r="D195" t="s">
        <v>12</v>
      </c>
      <c r="E195" t="s">
        <v>167</v>
      </c>
      <c r="F195" t="s">
        <v>168</v>
      </c>
      <c r="G195" t="s">
        <v>16</v>
      </c>
      <c r="H195" t="s">
        <v>8</v>
      </c>
      <c r="I195" s="1">
        <v>1</v>
      </c>
      <c r="J195" s="1">
        <v>0</v>
      </c>
      <c r="K195" s="1">
        <f t="shared" ref="K195:K258" si="3">SUM(I195,J195)</f>
        <v>1</v>
      </c>
    </row>
    <row r="196" spans="1:11" x14ac:dyDescent="0.4">
      <c r="A196" t="s">
        <v>9</v>
      </c>
      <c r="B196" t="s">
        <v>10</v>
      </c>
      <c r="C196" t="s">
        <v>11</v>
      </c>
      <c r="D196" t="s">
        <v>12</v>
      </c>
      <c r="E196" t="s">
        <v>169</v>
      </c>
      <c r="F196" t="s">
        <v>170</v>
      </c>
      <c r="G196" t="s">
        <v>16</v>
      </c>
      <c r="H196" t="s">
        <v>34</v>
      </c>
      <c r="I196" s="1">
        <v>1</v>
      </c>
      <c r="J196" s="1">
        <v>0</v>
      </c>
      <c r="K196" s="1">
        <f t="shared" si="3"/>
        <v>1</v>
      </c>
    </row>
    <row r="197" spans="1:11" x14ac:dyDescent="0.4">
      <c r="A197" t="s">
        <v>9</v>
      </c>
      <c r="B197" t="s">
        <v>10</v>
      </c>
      <c r="C197" t="s">
        <v>11</v>
      </c>
      <c r="D197" t="s">
        <v>12</v>
      </c>
      <c r="E197" t="s">
        <v>169</v>
      </c>
      <c r="F197" t="s">
        <v>170</v>
      </c>
      <c r="G197" t="s">
        <v>16</v>
      </c>
      <c r="H197" t="s">
        <v>17</v>
      </c>
      <c r="I197" s="1">
        <v>1</v>
      </c>
      <c r="J197" s="1">
        <v>0</v>
      </c>
      <c r="K197" s="1">
        <f t="shared" si="3"/>
        <v>1</v>
      </c>
    </row>
    <row r="198" spans="1:11" x14ac:dyDescent="0.4">
      <c r="A198" t="s">
        <v>9</v>
      </c>
      <c r="B198" t="s">
        <v>10</v>
      </c>
      <c r="C198" t="s">
        <v>11</v>
      </c>
      <c r="D198" t="s">
        <v>12</v>
      </c>
      <c r="E198" t="s">
        <v>169</v>
      </c>
      <c r="F198" t="s">
        <v>170</v>
      </c>
      <c r="G198" t="s">
        <v>16</v>
      </c>
      <c r="H198" t="s">
        <v>31</v>
      </c>
      <c r="I198" s="1">
        <v>0</v>
      </c>
      <c r="J198" s="1">
        <v>1</v>
      </c>
      <c r="K198" s="1">
        <f t="shared" si="3"/>
        <v>1</v>
      </c>
    </row>
    <row r="199" spans="1:11" hidden="1" x14ac:dyDescent="0.4">
      <c r="A199" t="s">
        <v>9</v>
      </c>
      <c r="B199" t="s">
        <v>10</v>
      </c>
      <c r="C199" t="s">
        <v>11</v>
      </c>
      <c r="D199" t="s">
        <v>12</v>
      </c>
      <c r="E199" t="s">
        <v>169</v>
      </c>
      <c r="F199" t="s">
        <v>170</v>
      </c>
      <c r="G199" t="s">
        <v>16</v>
      </c>
      <c r="H199" t="s">
        <v>8</v>
      </c>
      <c r="I199" s="1">
        <v>2</v>
      </c>
      <c r="J199" s="1">
        <v>1</v>
      </c>
      <c r="K199" s="1">
        <f t="shared" si="3"/>
        <v>3</v>
      </c>
    </row>
    <row r="200" spans="1:11" x14ac:dyDescent="0.4">
      <c r="A200" t="s">
        <v>9</v>
      </c>
      <c r="B200" t="s">
        <v>10</v>
      </c>
      <c r="C200" t="s">
        <v>11</v>
      </c>
      <c r="D200" t="s">
        <v>12</v>
      </c>
      <c r="E200" t="s">
        <v>171</v>
      </c>
      <c r="F200" t="s">
        <v>172</v>
      </c>
      <c r="G200" t="s">
        <v>16</v>
      </c>
      <c r="H200" t="s">
        <v>37</v>
      </c>
      <c r="I200" s="1">
        <v>1</v>
      </c>
      <c r="J200" s="1">
        <v>0</v>
      </c>
      <c r="K200" s="1">
        <f t="shared" si="3"/>
        <v>1</v>
      </c>
    </row>
    <row r="201" spans="1:11" x14ac:dyDescent="0.4">
      <c r="A201" t="s">
        <v>9</v>
      </c>
      <c r="B201" t="s">
        <v>10</v>
      </c>
      <c r="C201" t="s">
        <v>11</v>
      </c>
      <c r="D201" t="s">
        <v>12</v>
      </c>
      <c r="E201" t="s">
        <v>171</v>
      </c>
      <c r="F201" t="s">
        <v>172</v>
      </c>
      <c r="G201" t="s">
        <v>16</v>
      </c>
      <c r="H201" t="s">
        <v>34</v>
      </c>
      <c r="I201" s="1">
        <v>3</v>
      </c>
      <c r="J201" s="1">
        <v>0</v>
      </c>
      <c r="K201" s="1">
        <f t="shared" si="3"/>
        <v>3</v>
      </c>
    </row>
    <row r="202" spans="1:11" x14ac:dyDescent="0.4">
      <c r="A202" t="s">
        <v>9</v>
      </c>
      <c r="B202" t="s">
        <v>10</v>
      </c>
      <c r="C202" t="s">
        <v>11</v>
      </c>
      <c r="D202" t="s">
        <v>12</v>
      </c>
      <c r="E202" t="s">
        <v>171</v>
      </c>
      <c r="F202" t="s">
        <v>172</v>
      </c>
      <c r="G202" t="s">
        <v>16</v>
      </c>
      <c r="H202" t="s">
        <v>17</v>
      </c>
      <c r="I202" s="1">
        <v>2</v>
      </c>
      <c r="J202" s="1">
        <v>2</v>
      </c>
      <c r="K202" s="1">
        <f t="shared" si="3"/>
        <v>4</v>
      </c>
    </row>
    <row r="203" spans="1:11" x14ac:dyDescent="0.4">
      <c r="A203" t="s">
        <v>9</v>
      </c>
      <c r="B203" t="s">
        <v>10</v>
      </c>
      <c r="C203" t="s">
        <v>11</v>
      </c>
      <c r="D203" t="s">
        <v>12</v>
      </c>
      <c r="E203" t="s">
        <v>171</v>
      </c>
      <c r="F203" t="s">
        <v>172</v>
      </c>
      <c r="G203" t="s">
        <v>16</v>
      </c>
      <c r="H203" t="s">
        <v>15</v>
      </c>
      <c r="I203" s="1">
        <v>6</v>
      </c>
      <c r="J203" s="1">
        <v>5</v>
      </c>
      <c r="K203" s="1">
        <f t="shared" si="3"/>
        <v>11</v>
      </c>
    </row>
    <row r="204" spans="1:11" x14ac:dyDescent="0.4">
      <c r="A204" t="s">
        <v>9</v>
      </c>
      <c r="B204" t="s">
        <v>10</v>
      </c>
      <c r="C204" t="s">
        <v>11</v>
      </c>
      <c r="D204" t="s">
        <v>12</v>
      </c>
      <c r="E204" t="s">
        <v>171</v>
      </c>
      <c r="F204" t="s">
        <v>172</v>
      </c>
      <c r="G204" t="s">
        <v>16</v>
      </c>
      <c r="H204" t="s">
        <v>38</v>
      </c>
      <c r="I204" s="1">
        <v>5</v>
      </c>
      <c r="J204" s="1">
        <v>0</v>
      </c>
      <c r="K204" s="1">
        <f t="shared" si="3"/>
        <v>5</v>
      </c>
    </row>
    <row r="205" spans="1:11" x14ac:dyDescent="0.4">
      <c r="A205" t="s">
        <v>9</v>
      </c>
      <c r="B205" t="s">
        <v>10</v>
      </c>
      <c r="C205" t="s">
        <v>11</v>
      </c>
      <c r="D205" t="s">
        <v>12</v>
      </c>
      <c r="E205" t="s">
        <v>171</v>
      </c>
      <c r="F205" t="s">
        <v>172</v>
      </c>
      <c r="G205" t="s">
        <v>16</v>
      </c>
      <c r="H205" t="s">
        <v>51</v>
      </c>
      <c r="I205" s="1">
        <v>1</v>
      </c>
      <c r="J205" s="1">
        <v>0</v>
      </c>
      <c r="K205" s="1">
        <f t="shared" si="3"/>
        <v>1</v>
      </c>
    </row>
    <row r="206" spans="1:11" x14ac:dyDescent="0.4">
      <c r="A206" t="s">
        <v>9</v>
      </c>
      <c r="B206" t="s">
        <v>10</v>
      </c>
      <c r="C206" t="s">
        <v>11</v>
      </c>
      <c r="D206" t="s">
        <v>12</v>
      </c>
      <c r="E206" t="s">
        <v>171</v>
      </c>
      <c r="F206" t="s">
        <v>172</v>
      </c>
      <c r="G206" t="s">
        <v>16</v>
      </c>
      <c r="H206" t="s">
        <v>28</v>
      </c>
      <c r="I206" s="1">
        <v>1</v>
      </c>
      <c r="J206" s="1">
        <v>0</v>
      </c>
      <c r="K206" s="1">
        <f t="shared" si="3"/>
        <v>1</v>
      </c>
    </row>
    <row r="207" spans="1:11" x14ac:dyDescent="0.4">
      <c r="A207" t="s">
        <v>9</v>
      </c>
      <c r="B207" t="s">
        <v>10</v>
      </c>
      <c r="C207" t="s">
        <v>11</v>
      </c>
      <c r="D207" t="s">
        <v>12</v>
      </c>
      <c r="E207" t="s">
        <v>171</v>
      </c>
      <c r="F207" t="s">
        <v>172</v>
      </c>
      <c r="G207" t="s">
        <v>16</v>
      </c>
      <c r="H207" t="s">
        <v>31</v>
      </c>
      <c r="I207" s="1">
        <v>4</v>
      </c>
      <c r="J207" s="1">
        <v>0</v>
      </c>
      <c r="K207" s="1">
        <f t="shared" si="3"/>
        <v>4</v>
      </c>
    </row>
    <row r="208" spans="1:11" hidden="1" x14ac:dyDescent="0.4">
      <c r="A208" t="s">
        <v>9</v>
      </c>
      <c r="B208" t="s">
        <v>10</v>
      </c>
      <c r="C208" t="s">
        <v>11</v>
      </c>
      <c r="D208" t="s">
        <v>12</v>
      </c>
      <c r="E208" t="s">
        <v>171</v>
      </c>
      <c r="F208" t="s">
        <v>172</v>
      </c>
      <c r="G208" t="s">
        <v>16</v>
      </c>
      <c r="H208" t="s">
        <v>8</v>
      </c>
      <c r="I208" s="1">
        <v>26</v>
      </c>
      <c r="J208" s="1">
        <v>7</v>
      </c>
      <c r="K208" s="1">
        <f t="shared" si="3"/>
        <v>33</v>
      </c>
    </row>
    <row r="209" spans="1:11" x14ac:dyDescent="0.4">
      <c r="A209" t="s">
        <v>9</v>
      </c>
      <c r="B209" t="s">
        <v>10</v>
      </c>
      <c r="C209" t="s">
        <v>11</v>
      </c>
      <c r="D209" t="s">
        <v>12</v>
      </c>
      <c r="E209" t="s">
        <v>171</v>
      </c>
      <c r="F209" t="s">
        <v>172</v>
      </c>
      <c r="G209" t="s">
        <v>16</v>
      </c>
      <c r="H209" t="s">
        <v>23</v>
      </c>
      <c r="I209" s="1">
        <v>3</v>
      </c>
      <c r="J209" s="1">
        <v>0</v>
      </c>
      <c r="K209" s="1">
        <f t="shared" si="3"/>
        <v>3</v>
      </c>
    </row>
    <row r="210" spans="1:11" x14ac:dyDescent="0.4">
      <c r="A210" t="s">
        <v>9</v>
      </c>
      <c r="B210" t="s">
        <v>10</v>
      </c>
      <c r="C210" t="s">
        <v>11</v>
      </c>
      <c r="D210" t="s">
        <v>12</v>
      </c>
      <c r="E210" t="s">
        <v>173</v>
      </c>
      <c r="F210" t="s">
        <v>174</v>
      </c>
      <c r="G210" t="s">
        <v>16</v>
      </c>
      <c r="H210" t="s">
        <v>31</v>
      </c>
      <c r="I210" s="1">
        <v>1</v>
      </c>
      <c r="J210" s="1">
        <v>0</v>
      </c>
      <c r="K210" s="1">
        <f t="shared" si="3"/>
        <v>1</v>
      </c>
    </row>
    <row r="211" spans="1:11" hidden="1" x14ac:dyDescent="0.4">
      <c r="A211" t="s">
        <v>9</v>
      </c>
      <c r="B211" t="s">
        <v>10</v>
      </c>
      <c r="C211" t="s">
        <v>11</v>
      </c>
      <c r="D211" t="s">
        <v>12</v>
      </c>
      <c r="E211" t="s">
        <v>173</v>
      </c>
      <c r="F211" t="s">
        <v>174</v>
      </c>
      <c r="G211" t="s">
        <v>16</v>
      </c>
      <c r="H211" t="s">
        <v>8</v>
      </c>
      <c r="I211" s="1">
        <v>1</v>
      </c>
      <c r="J211" s="1">
        <v>0</v>
      </c>
      <c r="K211" s="1">
        <f t="shared" si="3"/>
        <v>1</v>
      </c>
    </row>
    <row r="212" spans="1:11" x14ac:dyDescent="0.4">
      <c r="A212" t="s">
        <v>9</v>
      </c>
      <c r="B212" t="s">
        <v>10</v>
      </c>
      <c r="C212" t="s">
        <v>11</v>
      </c>
      <c r="D212" t="s">
        <v>12</v>
      </c>
      <c r="E212" t="s">
        <v>175</v>
      </c>
      <c r="F212" t="s">
        <v>176</v>
      </c>
      <c r="G212" t="s">
        <v>16</v>
      </c>
      <c r="H212" t="s">
        <v>31</v>
      </c>
      <c r="I212" s="1">
        <v>1</v>
      </c>
      <c r="J212" s="1">
        <v>0</v>
      </c>
      <c r="K212" s="1">
        <f t="shared" si="3"/>
        <v>1</v>
      </c>
    </row>
    <row r="213" spans="1:11" hidden="1" x14ac:dyDescent="0.4">
      <c r="A213" t="s">
        <v>9</v>
      </c>
      <c r="B213" t="s">
        <v>10</v>
      </c>
      <c r="C213" t="s">
        <v>11</v>
      </c>
      <c r="D213" t="s">
        <v>12</v>
      </c>
      <c r="E213" t="s">
        <v>175</v>
      </c>
      <c r="F213" t="s">
        <v>176</v>
      </c>
      <c r="G213" t="s">
        <v>16</v>
      </c>
      <c r="H213" t="s">
        <v>8</v>
      </c>
      <c r="I213" s="1">
        <v>1</v>
      </c>
      <c r="J213" s="1">
        <v>0</v>
      </c>
      <c r="K213" s="1">
        <f t="shared" si="3"/>
        <v>1</v>
      </c>
    </row>
    <row r="214" spans="1:11" x14ac:dyDescent="0.4">
      <c r="A214" t="s">
        <v>9</v>
      </c>
      <c r="B214" t="s">
        <v>10</v>
      </c>
      <c r="C214" t="s">
        <v>11</v>
      </c>
      <c r="D214" t="s">
        <v>12</v>
      </c>
      <c r="E214" t="s">
        <v>177</v>
      </c>
      <c r="F214" t="s">
        <v>178</v>
      </c>
      <c r="G214" t="s">
        <v>16</v>
      </c>
      <c r="H214" t="s">
        <v>17</v>
      </c>
      <c r="I214" s="1">
        <v>1</v>
      </c>
      <c r="J214" s="1">
        <v>1</v>
      </c>
      <c r="K214" s="1">
        <f t="shared" si="3"/>
        <v>2</v>
      </c>
    </row>
    <row r="215" spans="1:11" x14ac:dyDescent="0.4">
      <c r="A215" t="s">
        <v>9</v>
      </c>
      <c r="B215" t="s">
        <v>10</v>
      </c>
      <c r="C215" t="s">
        <v>11</v>
      </c>
      <c r="D215" t="s">
        <v>12</v>
      </c>
      <c r="E215" t="s">
        <v>177</v>
      </c>
      <c r="F215" t="s">
        <v>178</v>
      </c>
      <c r="G215" t="s">
        <v>16</v>
      </c>
      <c r="H215" t="s">
        <v>15</v>
      </c>
      <c r="I215" s="1">
        <v>1</v>
      </c>
      <c r="J215" s="1">
        <v>0</v>
      </c>
      <c r="K215" s="1">
        <f t="shared" si="3"/>
        <v>1</v>
      </c>
    </row>
    <row r="216" spans="1:11" x14ac:dyDescent="0.4">
      <c r="A216" t="s">
        <v>9</v>
      </c>
      <c r="B216" t="s">
        <v>10</v>
      </c>
      <c r="C216" t="s">
        <v>11</v>
      </c>
      <c r="D216" t="s">
        <v>12</v>
      </c>
      <c r="E216" t="s">
        <v>177</v>
      </c>
      <c r="F216" t="s">
        <v>178</v>
      </c>
      <c r="G216" t="s">
        <v>16</v>
      </c>
      <c r="H216" t="s">
        <v>31</v>
      </c>
      <c r="I216" s="1">
        <v>1</v>
      </c>
      <c r="J216" s="1">
        <v>0</v>
      </c>
      <c r="K216" s="1">
        <f t="shared" si="3"/>
        <v>1</v>
      </c>
    </row>
    <row r="217" spans="1:11" hidden="1" x14ac:dyDescent="0.4">
      <c r="A217" t="s">
        <v>9</v>
      </c>
      <c r="B217" t="s">
        <v>10</v>
      </c>
      <c r="C217" t="s">
        <v>11</v>
      </c>
      <c r="D217" t="s">
        <v>12</v>
      </c>
      <c r="E217" t="s">
        <v>177</v>
      </c>
      <c r="F217" t="s">
        <v>178</v>
      </c>
      <c r="G217" t="s">
        <v>16</v>
      </c>
      <c r="H217" t="s">
        <v>8</v>
      </c>
      <c r="I217" s="1">
        <v>4</v>
      </c>
      <c r="J217" s="1">
        <v>2</v>
      </c>
      <c r="K217" s="1">
        <f t="shared" si="3"/>
        <v>6</v>
      </c>
    </row>
    <row r="218" spans="1:11" x14ac:dyDescent="0.4">
      <c r="A218" t="s">
        <v>9</v>
      </c>
      <c r="B218" t="s">
        <v>10</v>
      </c>
      <c r="C218" t="s">
        <v>11</v>
      </c>
      <c r="D218" t="s">
        <v>12</v>
      </c>
      <c r="E218" t="s">
        <v>177</v>
      </c>
      <c r="F218" t="s">
        <v>178</v>
      </c>
      <c r="G218" t="s">
        <v>16</v>
      </c>
      <c r="H218" t="s">
        <v>23</v>
      </c>
      <c r="I218" s="1">
        <v>1</v>
      </c>
      <c r="J218" s="1">
        <v>1</v>
      </c>
      <c r="K218" s="1">
        <f t="shared" si="3"/>
        <v>2</v>
      </c>
    </row>
    <row r="219" spans="1:11" x14ac:dyDescent="0.4">
      <c r="A219" t="s">
        <v>9</v>
      </c>
      <c r="B219" t="s">
        <v>10</v>
      </c>
      <c r="C219" t="s">
        <v>11</v>
      </c>
      <c r="D219" t="s">
        <v>12</v>
      </c>
      <c r="E219" t="s">
        <v>179</v>
      </c>
      <c r="F219" t="s">
        <v>180</v>
      </c>
      <c r="G219" t="s">
        <v>16</v>
      </c>
      <c r="H219" t="s">
        <v>37</v>
      </c>
      <c r="I219" s="1">
        <v>0</v>
      </c>
      <c r="J219" s="1">
        <v>1</v>
      </c>
      <c r="K219" s="1">
        <f t="shared" si="3"/>
        <v>1</v>
      </c>
    </row>
    <row r="220" spans="1:11" x14ac:dyDescent="0.4">
      <c r="A220" t="s">
        <v>9</v>
      </c>
      <c r="B220" t="s">
        <v>10</v>
      </c>
      <c r="C220" t="s">
        <v>11</v>
      </c>
      <c r="D220" t="s">
        <v>12</v>
      </c>
      <c r="E220" t="s">
        <v>179</v>
      </c>
      <c r="F220" t="s">
        <v>180</v>
      </c>
      <c r="G220" t="s">
        <v>16</v>
      </c>
      <c r="H220" t="s">
        <v>34</v>
      </c>
      <c r="I220" s="1">
        <v>1</v>
      </c>
      <c r="J220" s="1">
        <v>0</v>
      </c>
      <c r="K220" s="1">
        <f t="shared" si="3"/>
        <v>1</v>
      </c>
    </row>
    <row r="221" spans="1:11" x14ac:dyDescent="0.4">
      <c r="A221" t="s">
        <v>9</v>
      </c>
      <c r="B221" t="s">
        <v>10</v>
      </c>
      <c r="C221" t="s">
        <v>11</v>
      </c>
      <c r="D221" t="s">
        <v>12</v>
      </c>
      <c r="E221" t="s">
        <v>179</v>
      </c>
      <c r="F221" t="s">
        <v>180</v>
      </c>
      <c r="G221" t="s">
        <v>16</v>
      </c>
      <c r="H221" t="s">
        <v>17</v>
      </c>
      <c r="I221" s="1">
        <v>0</v>
      </c>
      <c r="J221" s="1">
        <v>2</v>
      </c>
      <c r="K221" s="1">
        <f t="shared" si="3"/>
        <v>2</v>
      </c>
    </row>
    <row r="222" spans="1:11" hidden="1" x14ac:dyDescent="0.4">
      <c r="A222" t="s">
        <v>9</v>
      </c>
      <c r="B222" t="s">
        <v>10</v>
      </c>
      <c r="C222" t="s">
        <v>11</v>
      </c>
      <c r="D222" t="s">
        <v>12</v>
      </c>
      <c r="E222" t="s">
        <v>179</v>
      </c>
      <c r="F222" t="s">
        <v>180</v>
      </c>
      <c r="G222" t="s">
        <v>16</v>
      </c>
      <c r="H222" t="s">
        <v>8</v>
      </c>
      <c r="I222" s="1">
        <v>2</v>
      </c>
      <c r="J222" s="1">
        <v>3</v>
      </c>
      <c r="K222" s="1">
        <f t="shared" si="3"/>
        <v>5</v>
      </c>
    </row>
    <row r="223" spans="1:11" x14ac:dyDescent="0.4">
      <c r="A223" t="s">
        <v>9</v>
      </c>
      <c r="B223" t="s">
        <v>10</v>
      </c>
      <c r="C223" t="s">
        <v>11</v>
      </c>
      <c r="D223" t="s">
        <v>12</v>
      </c>
      <c r="E223" t="s">
        <v>179</v>
      </c>
      <c r="F223" t="s">
        <v>180</v>
      </c>
      <c r="G223" t="s">
        <v>16</v>
      </c>
      <c r="H223" t="s">
        <v>23</v>
      </c>
      <c r="I223" s="1">
        <v>1</v>
      </c>
      <c r="J223" s="1">
        <v>0</v>
      </c>
      <c r="K223" s="1">
        <f t="shared" si="3"/>
        <v>1</v>
      </c>
    </row>
    <row r="224" spans="1:11" x14ac:dyDescent="0.4">
      <c r="A224" t="s">
        <v>9</v>
      </c>
      <c r="B224" t="s">
        <v>10</v>
      </c>
      <c r="C224" t="s">
        <v>11</v>
      </c>
      <c r="D224" t="s">
        <v>12</v>
      </c>
      <c r="E224" t="s">
        <v>181</v>
      </c>
      <c r="F224" t="s">
        <v>182</v>
      </c>
      <c r="G224" t="s">
        <v>16</v>
      </c>
      <c r="H224" t="s">
        <v>15</v>
      </c>
      <c r="I224" s="1">
        <v>1</v>
      </c>
      <c r="J224" s="1">
        <v>0</v>
      </c>
      <c r="K224" s="1">
        <f t="shared" si="3"/>
        <v>1</v>
      </c>
    </row>
    <row r="225" spans="1:11" hidden="1" x14ac:dyDescent="0.4">
      <c r="A225" t="s">
        <v>9</v>
      </c>
      <c r="B225" t="s">
        <v>10</v>
      </c>
      <c r="C225" t="s">
        <v>11</v>
      </c>
      <c r="D225" t="s">
        <v>12</v>
      </c>
      <c r="E225" t="s">
        <v>181</v>
      </c>
      <c r="F225" t="s">
        <v>182</v>
      </c>
      <c r="G225" t="s">
        <v>16</v>
      </c>
      <c r="H225" t="s">
        <v>8</v>
      </c>
      <c r="I225" s="1">
        <v>1</v>
      </c>
      <c r="J225" s="1">
        <v>0</v>
      </c>
      <c r="K225" s="1">
        <f t="shared" si="3"/>
        <v>1</v>
      </c>
    </row>
    <row r="226" spans="1:11" hidden="1" x14ac:dyDescent="0.4">
      <c r="A226" t="s">
        <v>9</v>
      </c>
      <c r="B226" t="s">
        <v>10</v>
      </c>
      <c r="C226" t="s">
        <v>11</v>
      </c>
      <c r="D226" t="s">
        <v>12</v>
      </c>
      <c r="E226" t="s">
        <v>183</v>
      </c>
      <c r="F226" t="s">
        <v>184</v>
      </c>
      <c r="G226" t="s">
        <v>16</v>
      </c>
      <c r="H226" t="s">
        <v>8</v>
      </c>
      <c r="I226" s="1">
        <v>1</v>
      </c>
      <c r="J226" s="1">
        <v>0</v>
      </c>
      <c r="K226" s="1">
        <f t="shared" si="3"/>
        <v>1</v>
      </c>
    </row>
    <row r="227" spans="1:11" x14ac:dyDescent="0.4">
      <c r="A227" t="s">
        <v>9</v>
      </c>
      <c r="B227" t="s">
        <v>10</v>
      </c>
      <c r="C227" t="s">
        <v>11</v>
      </c>
      <c r="D227" t="s">
        <v>12</v>
      </c>
      <c r="E227" t="s">
        <v>183</v>
      </c>
      <c r="F227" t="s">
        <v>184</v>
      </c>
      <c r="G227" t="s">
        <v>16</v>
      </c>
      <c r="H227" t="s">
        <v>23</v>
      </c>
      <c r="I227" s="1">
        <v>1</v>
      </c>
      <c r="J227" s="1">
        <v>0</v>
      </c>
      <c r="K227" s="1">
        <f t="shared" si="3"/>
        <v>1</v>
      </c>
    </row>
    <row r="228" spans="1:11" x14ac:dyDescent="0.4">
      <c r="A228" t="s">
        <v>9</v>
      </c>
      <c r="B228" t="s">
        <v>10</v>
      </c>
      <c r="C228" t="s">
        <v>11</v>
      </c>
      <c r="D228" t="s">
        <v>12</v>
      </c>
      <c r="E228" t="s">
        <v>185</v>
      </c>
      <c r="F228" t="s">
        <v>186</v>
      </c>
      <c r="G228" t="s">
        <v>16</v>
      </c>
      <c r="H228" t="s">
        <v>37</v>
      </c>
      <c r="I228" s="1">
        <v>1</v>
      </c>
      <c r="J228" s="1">
        <v>0</v>
      </c>
      <c r="K228" s="1">
        <f t="shared" si="3"/>
        <v>1</v>
      </c>
    </row>
    <row r="229" spans="1:11" x14ac:dyDescent="0.4">
      <c r="A229" t="s">
        <v>9</v>
      </c>
      <c r="B229" t="s">
        <v>10</v>
      </c>
      <c r="C229" t="s">
        <v>11</v>
      </c>
      <c r="D229" t="s">
        <v>12</v>
      </c>
      <c r="E229" t="s">
        <v>185</v>
      </c>
      <c r="F229" t="s">
        <v>186</v>
      </c>
      <c r="G229" t="s">
        <v>16</v>
      </c>
      <c r="H229" t="s">
        <v>17</v>
      </c>
      <c r="I229" s="1">
        <v>1</v>
      </c>
      <c r="J229" s="1">
        <v>0</v>
      </c>
      <c r="K229" s="1">
        <f t="shared" si="3"/>
        <v>1</v>
      </c>
    </row>
    <row r="230" spans="1:11" hidden="1" x14ac:dyDescent="0.4">
      <c r="A230" t="s">
        <v>9</v>
      </c>
      <c r="B230" t="s">
        <v>10</v>
      </c>
      <c r="C230" t="s">
        <v>11</v>
      </c>
      <c r="D230" t="s">
        <v>12</v>
      </c>
      <c r="E230" t="s">
        <v>185</v>
      </c>
      <c r="F230" t="s">
        <v>186</v>
      </c>
      <c r="G230" t="s">
        <v>16</v>
      </c>
      <c r="H230" t="s">
        <v>8</v>
      </c>
      <c r="I230" s="1">
        <v>2</v>
      </c>
      <c r="J230" s="1">
        <v>0</v>
      </c>
      <c r="K230" s="1">
        <f t="shared" si="3"/>
        <v>2</v>
      </c>
    </row>
    <row r="231" spans="1:11" hidden="1" x14ac:dyDescent="0.4">
      <c r="A231" t="s">
        <v>9</v>
      </c>
      <c r="B231" t="s">
        <v>10</v>
      </c>
      <c r="C231" t="s">
        <v>11</v>
      </c>
      <c r="D231" t="s">
        <v>12</v>
      </c>
      <c r="E231" t="s">
        <v>187</v>
      </c>
      <c r="F231" t="s">
        <v>188</v>
      </c>
      <c r="G231" t="s">
        <v>16</v>
      </c>
      <c r="H231" t="s">
        <v>8</v>
      </c>
      <c r="I231" s="1">
        <v>0</v>
      </c>
      <c r="J231" s="1">
        <v>1</v>
      </c>
      <c r="K231" s="1">
        <f t="shared" si="3"/>
        <v>1</v>
      </c>
    </row>
    <row r="232" spans="1:11" x14ac:dyDescent="0.4">
      <c r="A232" t="s">
        <v>9</v>
      </c>
      <c r="B232" t="s">
        <v>10</v>
      </c>
      <c r="C232" t="s">
        <v>11</v>
      </c>
      <c r="D232" t="s">
        <v>12</v>
      </c>
      <c r="E232" t="s">
        <v>187</v>
      </c>
      <c r="F232" t="s">
        <v>188</v>
      </c>
      <c r="G232" t="s">
        <v>16</v>
      </c>
      <c r="H232" t="s">
        <v>23</v>
      </c>
      <c r="I232" s="1">
        <v>0</v>
      </c>
      <c r="J232" s="1">
        <v>1</v>
      </c>
      <c r="K232" s="1">
        <f t="shared" si="3"/>
        <v>1</v>
      </c>
    </row>
    <row r="233" spans="1:11" x14ac:dyDescent="0.4">
      <c r="A233" t="s">
        <v>9</v>
      </c>
      <c r="B233" t="s">
        <v>10</v>
      </c>
      <c r="C233" t="s">
        <v>11</v>
      </c>
      <c r="D233" t="s">
        <v>12</v>
      </c>
      <c r="E233" t="s">
        <v>189</v>
      </c>
      <c r="F233" t="s">
        <v>190</v>
      </c>
      <c r="G233" t="s">
        <v>16</v>
      </c>
      <c r="H233" t="s">
        <v>34</v>
      </c>
      <c r="I233" s="1">
        <v>1</v>
      </c>
      <c r="J233" s="1">
        <v>0</v>
      </c>
      <c r="K233" s="1">
        <f t="shared" si="3"/>
        <v>1</v>
      </c>
    </row>
    <row r="234" spans="1:11" x14ac:dyDescent="0.4">
      <c r="A234" t="s">
        <v>9</v>
      </c>
      <c r="B234" t="s">
        <v>10</v>
      </c>
      <c r="C234" t="s">
        <v>11</v>
      </c>
      <c r="D234" t="s">
        <v>12</v>
      </c>
      <c r="E234" t="s">
        <v>189</v>
      </c>
      <c r="F234" t="s">
        <v>190</v>
      </c>
      <c r="G234" t="s">
        <v>16</v>
      </c>
      <c r="H234" t="s">
        <v>15</v>
      </c>
      <c r="I234" s="1">
        <v>1</v>
      </c>
      <c r="J234" s="1">
        <v>0</v>
      </c>
      <c r="K234" s="1">
        <f t="shared" si="3"/>
        <v>1</v>
      </c>
    </row>
    <row r="235" spans="1:11" x14ac:dyDescent="0.4">
      <c r="A235" t="s">
        <v>9</v>
      </c>
      <c r="B235" t="s">
        <v>10</v>
      </c>
      <c r="C235" t="s">
        <v>11</v>
      </c>
      <c r="D235" t="s">
        <v>12</v>
      </c>
      <c r="E235" t="s">
        <v>189</v>
      </c>
      <c r="F235" t="s">
        <v>190</v>
      </c>
      <c r="G235" t="s">
        <v>16</v>
      </c>
      <c r="H235" t="s">
        <v>31</v>
      </c>
      <c r="I235" s="1">
        <v>1</v>
      </c>
      <c r="J235" s="1">
        <v>0</v>
      </c>
      <c r="K235" s="1">
        <f t="shared" si="3"/>
        <v>1</v>
      </c>
    </row>
    <row r="236" spans="1:11" hidden="1" x14ac:dyDescent="0.4">
      <c r="A236" t="s">
        <v>9</v>
      </c>
      <c r="B236" t="s">
        <v>10</v>
      </c>
      <c r="C236" t="s">
        <v>11</v>
      </c>
      <c r="D236" t="s">
        <v>12</v>
      </c>
      <c r="E236" t="s">
        <v>189</v>
      </c>
      <c r="F236" t="s">
        <v>190</v>
      </c>
      <c r="G236" t="s">
        <v>16</v>
      </c>
      <c r="H236" t="s">
        <v>8</v>
      </c>
      <c r="I236" s="1">
        <v>3</v>
      </c>
      <c r="J236" s="1">
        <v>0</v>
      </c>
      <c r="K236" s="1">
        <f t="shared" si="3"/>
        <v>3</v>
      </c>
    </row>
    <row r="237" spans="1:11" x14ac:dyDescent="0.4">
      <c r="A237" t="s">
        <v>9</v>
      </c>
      <c r="B237" t="s">
        <v>10</v>
      </c>
      <c r="C237" t="s">
        <v>11</v>
      </c>
      <c r="D237" t="s">
        <v>12</v>
      </c>
      <c r="E237" t="s">
        <v>191</v>
      </c>
      <c r="F237" t="s">
        <v>192</v>
      </c>
      <c r="G237" t="s">
        <v>16</v>
      </c>
      <c r="H237" t="s">
        <v>17</v>
      </c>
      <c r="I237" s="1">
        <v>1</v>
      </c>
      <c r="J237" s="1">
        <v>2</v>
      </c>
      <c r="K237" s="1">
        <f t="shared" si="3"/>
        <v>3</v>
      </c>
    </row>
    <row r="238" spans="1:11" x14ac:dyDescent="0.4">
      <c r="A238" t="s">
        <v>9</v>
      </c>
      <c r="B238" t="s">
        <v>10</v>
      </c>
      <c r="C238" t="s">
        <v>11</v>
      </c>
      <c r="D238" t="s">
        <v>12</v>
      </c>
      <c r="E238" t="s">
        <v>191</v>
      </c>
      <c r="F238" t="s">
        <v>192</v>
      </c>
      <c r="G238" t="s">
        <v>16</v>
      </c>
      <c r="H238" t="s">
        <v>39</v>
      </c>
      <c r="I238" s="1">
        <v>1</v>
      </c>
      <c r="J238" s="1">
        <v>0</v>
      </c>
      <c r="K238" s="1">
        <f t="shared" si="3"/>
        <v>1</v>
      </c>
    </row>
    <row r="239" spans="1:11" hidden="1" x14ac:dyDescent="0.4">
      <c r="A239" t="s">
        <v>9</v>
      </c>
      <c r="B239" t="s">
        <v>10</v>
      </c>
      <c r="C239" t="s">
        <v>11</v>
      </c>
      <c r="D239" t="s">
        <v>12</v>
      </c>
      <c r="E239" t="s">
        <v>191</v>
      </c>
      <c r="F239" t="s">
        <v>192</v>
      </c>
      <c r="G239" t="s">
        <v>16</v>
      </c>
      <c r="H239" t="s">
        <v>8</v>
      </c>
      <c r="I239" s="1">
        <v>2</v>
      </c>
      <c r="J239" s="1">
        <v>2</v>
      </c>
      <c r="K239" s="1">
        <f t="shared" si="3"/>
        <v>4</v>
      </c>
    </row>
    <row r="240" spans="1:11" x14ac:dyDescent="0.4">
      <c r="A240" t="s">
        <v>9</v>
      </c>
      <c r="B240" t="s">
        <v>10</v>
      </c>
      <c r="C240" t="s">
        <v>11</v>
      </c>
      <c r="D240" t="s">
        <v>12</v>
      </c>
      <c r="E240" t="s">
        <v>193</v>
      </c>
      <c r="F240" t="s">
        <v>194</v>
      </c>
      <c r="G240" t="s">
        <v>16</v>
      </c>
      <c r="H240" t="s">
        <v>34</v>
      </c>
      <c r="I240" s="1">
        <v>1</v>
      </c>
      <c r="J240" s="1">
        <v>0</v>
      </c>
      <c r="K240" s="1">
        <f t="shared" si="3"/>
        <v>1</v>
      </c>
    </row>
    <row r="241" spans="1:11" x14ac:dyDescent="0.4">
      <c r="A241" t="s">
        <v>9</v>
      </c>
      <c r="B241" t="s">
        <v>10</v>
      </c>
      <c r="C241" t="s">
        <v>11</v>
      </c>
      <c r="D241" t="s">
        <v>12</v>
      </c>
      <c r="E241" t="s">
        <v>193</v>
      </c>
      <c r="F241" t="s">
        <v>194</v>
      </c>
      <c r="G241" t="s">
        <v>16</v>
      </c>
      <c r="H241" t="s">
        <v>17</v>
      </c>
      <c r="I241" s="1">
        <v>1</v>
      </c>
      <c r="J241" s="1">
        <v>2</v>
      </c>
      <c r="K241" s="1">
        <f t="shared" si="3"/>
        <v>3</v>
      </c>
    </row>
    <row r="242" spans="1:11" x14ac:dyDescent="0.4">
      <c r="A242" t="s">
        <v>9</v>
      </c>
      <c r="B242" t="s">
        <v>10</v>
      </c>
      <c r="C242" t="s">
        <v>11</v>
      </c>
      <c r="D242" t="s">
        <v>12</v>
      </c>
      <c r="E242" t="s">
        <v>193</v>
      </c>
      <c r="F242" t="s">
        <v>194</v>
      </c>
      <c r="G242" t="s">
        <v>16</v>
      </c>
      <c r="H242" t="s">
        <v>38</v>
      </c>
      <c r="I242" s="1">
        <v>1</v>
      </c>
      <c r="J242" s="1">
        <v>0</v>
      </c>
      <c r="K242" s="1">
        <f t="shared" si="3"/>
        <v>1</v>
      </c>
    </row>
    <row r="243" spans="1:11" x14ac:dyDescent="0.4">
      <c r="A243" t="s">
        <v>9</v>
      </c>
      <c r="B243" t="s">
        <v>10</v>
      </c>
      <c r="C243" t="s">
        <v>11</v>
      </c>
      <c r="D243" t="s">
        <v>12</v>
      </c>
      <c r="E243" t="s">
        <v>193</v>
      </c>
      <c r="F243" t="s">
        <v>194</v>
      </c>
      <c r="G243" t="s">
        <v>16</v>
      </c>
      <c r="H243" t="s">
        <v>18</v>
      </c>
      <c r="I243" s="1">
        <v>1</v>
      </c>
      <c r="J243" s="1">
        <v>0</v>
      </c>
      <c r="K243" s="1">
        <f t="shared" si="3"/>
        <v>1</v>
      </c>
    </row>
    <row r="244" spans="1:11" hidden="1" x14ac:dyDescent="0.4">
      <c r="A244" t="s">
        <v>9</v>
      </c>
      <c r="B244" t="s">
        <v>10</v>
      </c>
      <c r="C244" t="s">
        <v>11</v>
      </c>
      <c r="D244" t="s">
        <v>12</v>
      </c>
      <c r="E244" t="s">
        <v>193</v>
      </c>
      <c r="F244" t="s">
        <v>194</v>
      </c>
      <c r="G244" t="s">
        <v>16</v>
      </c>
      <c r="H244" t="s">
        <v>8</v>
      </c>
      <c r="I244" s="1">
        <v>4</v>
      </c>
      <c r="J244" s="1">
        <v>2</v>
      </c>
      <c r="K244" s="1">
        <f t="shared" si="3"/>
        <v>6</v>
      </c>
    </row>
    <row r="245" spans="1:11" x14ac:dyDescent="0.4">
      <c r="A245" t="s">
        <v>9</v>
      </c>
      <c r="B245" t="s">
        <v>10</v>
      </c>
      <c r="C245" t="s">
        <v>11</v>
      </c>
      <c r="D245" t="s">
        <v>12</v>
      </c>
      <c r="E245" t="s">
        <v>195</v>
      </c>
      <c r="F245" t="s">
        <v>196</v>
      </c>
      <c r="G245" t="s">
        <v>16</v>
      </c>
      <c r="H245" t="s">
        <v>34</v>
      </c>
      <c r="I245" s="1">
        <v>2</v>
      </c>
      <c r="J245" s="1">
        <v>0</v>
      </c>
      <c r="K245" s="1">
        <f t="shared" si="3"/>
        <v>2</v>
      </c>
    </row>
    <row r="246" spans="1:11" x14ac:dyDescent="0.4">
      <c r="A246" t="s">
        <v>9</v>
      </c>
      <c r="B246" t="s">
        <v>10</v>
      </c>
      <c r="C246" t="s">
        <v>11</v>
      </c>
      <c r="D246" t="s">
        <v>12</v>
      </c>
      <c r="E246" t="s">
        <v>195</v>
      </c>
      <c r="F246" t="s">
        <v>196</v>
      </c>
      <c r="G246" t="s">
        <v>16</v>
      </c>
      <c r="H246" t="s">
        <v>15</v>
      </c>
      <c r="I246" s="1">
        <v>1</v>
      </c>
      <c r="J246" s="1">
        <v>0</v>
      </c>
      <c r="K246" s="1">
        <f t="shared" si="3"/>
        <v>1</v>
      </c>
    </row>
    <row r="247" spans="1:11" hidden="1" x14ac:dyDescent="0.4">
      <c r="A247" t="s">
        <v>9</v>
      </c>
      <c r="B247" t="s">
        <v>10</v>
      </c>
      <c r="C247" t="s">
        <v>11</v>
      </c>
      <c r="D247" t="s">
        <v>12</v>
      </c>
      <c r="E247" t="s">
        <v>195</v>
      </c>
      <c r="F247" t="s">
        <v>196</v>
      </c>
      <c r="G247" t="s">
        <v>16</v>
      </c>
      <c r="H247" t="s">
        <v>8</v>
      </c>
      <c r="I247" s="1">
        <v>3</v>
      </c>
      <c r="J247" s="1">
        <v>0</v>
      </c>
      <c r="K247" s="1">
        <f t="shared" si="3"/>
        <v>3</v>
      </c>
    </row>
    <row r="248" spans="1:11" x14ac:dyDescent="0.4">
      <c r="A248" t="s">
        <v>9</v>
      </c>
      <c r="B248" t="s">
        <v>10</v>
      </c>
      <c r="C248" t="s">
        <v>11</v>
      </c>
      <c r="D248" t="s">
        <v>12</v>
      </c>
      <c r="E248" t="s">
        <v>197</v>
      </c>
      <c r="F248" t="s">
        <v>198</v>
      </c>
      <c r="G248" t="s">
        <v>16</v>
      </c>
      <c r="H248" t="s">
        <v>37</v>
      </c>
      <c r="I248" s="1">
        <v>1</v>
      </c>
      <c r="J248" s="1">
        <v>0</v>
      </c>
      <c r="K248" s="1">
        <f t="shared" si="3"/>
        <v>1</v>
      </c>
    </row>
    <row r="249" spans="1:11" x14ac:dyDescent="0.4">
      <c r="A249" t="s">
        <v>9</v>
      </c>
      <c r="B249" t="s">
        <v>10</v>
      </c>
      <c r="C249" t="s">
        <v>11</v>
      </c>
      <c r="D249" t="s">
        <v>12</v>
      </c>
      <c r="E249" t="s">
        <v>197</v>
      </c>
      <c r="F249" t="s">
        <v>198</v>
      </c>
      <c r="G249" t="s">
        <v>16</v>
      </c>
      <c r="H249" t="s">
        <v>15</v>
      </c>
      <c r="I249" s="1">
        <v>1</v>
      </c>
      <c r="J249" s="1">
        <v>0</v>
      </c>
      <c r="K249" s="1">
        <f t="shared" si="3"/>
        <v>1</v>
      </c>
    </row>
    <row r="250" spans="1:11" hidden="1" x14ac:dyDescent="0.4">
      <c r="A250" t="s">
        <v>9</v>
      </c>
      <c r="B250" t="s">
        <v>10</v>
      </c>
      <c r="C250" t="s">
        <v>11</v>
      </c>
      <c r="D250" t="s">
        <v>12</v>
      </c>
      <c r="E250" t="s">
        <v>197</v>
      </c>
      <c r="F250" t="s">
        <v>198</v>
      </c>
      <c r="G250" t="s">
        <v>16</v>
      </c>
      <c r="H250" t="s">
        <v>8</v>
      </c>
      <c r="I250" s="1">
        <v>2</v>
      </c>
      <c r="J250" s="1">
        <v>0</v>
      </c>
      <c r="K250" s="1">
        <f t="shared" si="3"/>
        <v>2</v>
      </c>
    </row>
    <row r="251" spans="1:11" hidden="1" x14ac:dyDescent="0.4">
      <c r="A251" t="s">
        <v>9</v>
      </c>
      <c r="B251" t="s">
        <v>10</v>
      </c>
      <c r="C251" t="s">
        <v>11</v>
      </c>
      <c r="D251" t="s">
        <v>12</v>
      </c>
      <c r="E251" t="s">
        <v>199</v>
      </c>
      <c r="F251" t="s">
        <v>200</v>
      </c>
      <c r="G251" t="s">
        <v>16</v>
      </c>
      <c r="H251" t="s">
        <v>8</v>
      </c>
      <c r="I251" s="1">
        <v>1</v>
      </c>
      <c r="J251" s="1">
        <v>0</v>
      </c>
      <c r="K251" s="1">
        <f t="shared" si="3"/>
        <v>1</v>
      </c>
    </row>
    <row r="252" spans="1:11" x14ac:dyDescent="0.4">
      <c r="A252" t="s">
        <v>9</v>
      </c>
      <c r="B252" t="s">
        <v>10</v>
      </c>
      <c r="C252" t="s">
        <v>11</v>
      </c>
      <c r="D252" t="s">
        <v>12</v>
      </c>
      <c r="E252" t="s">
        <v>199</v>
      </c>
      <c r="F252" t="s">
        <v>200</v>
      </c>
      <c r="G252" t="s">
        <v>16</v>
      </c>
      <c r="H252" t="s">
        <v>23</v>
      </c>
      <c r="I252" s="1">
        <v>1</v>
      </c>
      <c r="J252" s="1">
        <v>0</v>
      </c>
      <c r="K252" s="1">
        <f t="shared" si="3"/>
        <v>1</v>
      </c>
    </row>
    <row r="253" spans="1:11" x14ac:dyDescent="0.4">
      <c r="A253" t="s">
        <v>9</v>
      </c>
      <c r="B253" t="s">
        <v>10</v>
      </c>
      <c r="C253" t="s">
        <v>11</v>
      </c>
      <c r="D253" t="s">
        <v>12</v>
      </c>
      <c r="E253" t="s">
        <v>201</v>
      </c>
      <c r="F253" t="s">
        <v>202</v>
      </c>
      <c r="G253" t="s">
        <v>16</v>
      </c>
      <c r="H253" t="s">
        <v>17</v>
      </c>
      <c r="I253" s="1">
        <v>1</v>
      </c>
      <c r="J253" s="1">
        <v>0</v>
      </c>
      <c r="K253" s="1">
        <f t="shared" si="3"/>
        <v>1</v>
      </c>
    </row>
    <row r="254" spans="1:11" x14ac:dyDescent="0.4">
      <c r="A254" t="s">
        <v>9</v>
      </c>
      <c r="B254" t="s">
        <v>10</v>
      </c>
      <c r="C254" t="s">
        <v>11</v>
      </c>
      <c r="D254" t="s">
        <v>12</v>
      </c>
      <c r="E254" t="s">
        <v>201</v>
      </c>
      <c r="F254" t="s">
        <v>202</v>
      </c>
      <c r="G254" t="s">
        <v>16</v>
      </c>
      <c r="H254" t="s">
        <v>38</v>
      </c>
      <c r="I254" s="1">
        <v>1</v>
      </c>
      <c r="J254" s="1">
        <v>0</v>
      </c>
      <c r="K254" s="1">
        <f t="shared" si="3"/>
        <v>1</v>
      </c>
    </row>
    <row r="255" spans="1:11" hidden="1" x14ac:dyDescent="0.4">
      <c r="A255" t="s">
        <v>9</v>
      </c>
      <c r="B255" t="s">
        <v>10</v>
      </c>
      <c r="C255" t="s">
        <v>11</v>
      </c>
      <c r="D255" t="s">
        <v>12</v>
      </c>
      <c r="E255" t="s">
        <v>201</v>
      </c>
      <c r="F255" t="s">
        <v>202</v>
      </c>
      <c r="G255" t="s">
        <v>16</v>
      </c>
      <c r="H255" t="s">
        <v>8</v>
      </c>
      <c r="I255" s="1">
        <v>2</v>
      </c>
      <c r="J255" s="1">
        <v>0</v>
      </c>
      <c r="K255" s="1">
        <f t="shared" si="3"/>
        <v>2</v>
      </c>
    </row>
    <row r="256" spans="1:11" x14ac:dyDescent="0.4">
      <c r="A256" t="s">
        <v>9</v>
      </c>
      <c r="B256" t="s">
        <v>10</v>
      </c>
      <c r="C256" t="s">
        <v>11</v>
      </c>
      <c r="D256" t="s">
        <v>12</v>
      </c>
      <c r="E256" t="s">
        <v>203</v>
      </c>
      <c r="F256" t="s">
        <v>204</v>
      </c>
      <c r="G256" t="s">
        <v>16</v>
      </c>
      <c r="H256" t="s">
        <v>17</v>
      </c>
      <c r="I256" s="1">
        <v>2</v>
      </c>
      <c r="J256" s="1">
        <v>0</v>
      </c>
      <c r="K256" s="1">
        <f t="shared" si="3"/>
        <v>2</v>
      </c>
    </row>
    <row r="257" spans="1:11" hidden="1" x14ac:dyDescent="0.4">
      <c r="A257" t="s">
        <v>9</v>
      </c>
      <c r="B257" t="s">
        <v>10</v>
      </c>
      <c r="C257" t="s">
        <v>11</v>
      </c>
      <c r="D257" t="s">
        <v>12</v>
      </c>
      <c r="E257" t="s">
        <v>203</v>
      </c>
      <c r="F257" t="s">
        <v>204</v>
      </c>
      <c r="G257" t="s">
        <v>16</v>
      </c>
      <c r="H257" t="s">
        <v>8</v>
      </c>
      <c r="I257" s="1">
        <v>2</v>
      </c>
      <c r="J257" s="1">
        <v>0</v>
      </c>
      <c r="K257" s="1">
        <f t="shared" si="3"/>
        <v>2</v>
      </c>
    </row>
    <row r="258" spans="1:11" x14ac:dyDescent="0.4">
      <c r="A258" t="s">
        <v>9</v>
      </c>
      <c r="B258" t="s">
        <v>10</v>
      </c>
      <c r="C258" t="s">
        <v>11</v>
      </c>
      <c r="D258" t="s">
        <v>12</v>
      </c>
      <c r="E258" t="s">
        <v>205</v>
      </c>
      <c r="F258" t="s">
        <v>206</v>
      </c>
      <c r="G258" t="s">
        <v>16</v>
      </c>
      <c r="H258" t="s">
        <v>15</v>
      </c>
      <c r="I258" s="1">
        <v>1</v>
      </c>
      <c r="J258" s="1">
        <v>0</v>
      </c>
      <c r="K258" s="1">
        <f t="shared" si="3"/>
        <v>1</v>
      </c>
    </row>
    <row r="259" spans="1:11" hidden="1" x14ac:dyDescent="0.4">
      <c r="A259" t="s">
        <v>9</v>
      </c>
      <c r="B259" t="s">
        <v>10</v>
      </c>
      <c r="C259" t="s">
        <v>11</v>
      </c>
      <c r="D259" t="s">
        <v>12</v>
      </c>
      <c r="E259" t="s">
        <v>205</v>
      </c>
      <c r="F259" t="s">
        <v>206</v>
      </c>
      <c r="G259" t="s">
        <v>16</v>
      </c>
      <c r="H259" t="s">
        <v>8</v>
      </c>
      <c r="I259" s="1">
        <v>1</v>
      </c>
      <c r="J259" s="1">
        <v>0</v>
      </c>
      <c r="K259" s="1">
        <f t="shared" ref="K259:K322" si="4">SUM(I259,J259)</f>
        <v>1</v>
      </c>
    </row>
    <row r="260" spans="1:11" x14ac:dyDescent="0.4">
      <c r="A260" t="s">
        <v>9</v>
      </c>
      <c r="B260" t="s">
        <v>10</v>
      </c>
      <c r="C260" t="s">
        <v>11</v>
      </c>
      <c r="D260" t="s">
        <v>12</v>
      </c>
      <c r="E260" t="s">
        <v>207</v>
      </c>
      <c r="F260" t="s">
        <v>208</v>
      </c>
      <c r="G260" t="s">
        <v>16</v>
      </c>
      <c r="H260" t="s">
        <v>37</v>
      </c>
      <c r="I260" s="1">
        <v>515</v>
      </c>
      <c r="J260" s="1">
        <v>105</v>
      </c>
      <c r="K260" s="1">
        <f t="shared" si="4"/>
        <v>620</v>
      </c>
    </row>
    <row r="261" spans="1:11" x14ac:dyDescent="0.4">
      <c r="A261" t="s">
        <v>9</v>
      </c>
      <c r="B261" t="s">
        <v>10</v>
      </c>
      <c r="C261" t="s">
        <v>11</v>
      </c>
      <c r="D261" t="s">
        <v>12</v>
      </c>
      <c r="E261" t="s">
        <v>207</v>
      </c>
      <c r="F261" t="s">
        <v>208</v>
      </c>
      <c r="G261" t="s">
        <v>16</v>
      </c>
      <c r="H261" t="s">
        <v>34</v>
      </c>
      <c r="I261" s="1">
        <v>1133</v>
      </c>
      <c r="J261" s="1">
        <v>31</v>
      </c>
      <c r="K261" s="1">
        <f t="shared" si="4"/>
        <v>1164</v>
      </c>
    </row>
    <row r="262" spans="1:11" x14ac:dyDescent="0.4">
      <c r="A262" t="s">
        <v>9</v>
      </c>
      <c r="B262" t="s">
        <v>10</v>
      </c>
      <c r="C262" t="s">
        <v>11</v>
      </c>
      <c r="D262" t="s">
        <v>12</v>
      </c>
      <c r="E262" t="s">
        <v>207</v>
      </c>
      <c r="F262" t="s">
        <v>208</v>
      </c>
      <c r="G262" t="s">
        <v>16</v>
      </c>
      <c r="H262" t="s">
        <v>17</v>
      </c>
      <c r="I262" s="1">
        <v>1555</v>
      </c>
      <c r="J262" s="1">
        <v>759</v>
      </c>
      <c r="K262" s="1">
        <f t="shared" si="4"/>
        <v>2314</v>
      </c>
    </row>
    <row r="263" spans="1:11" x14ac:dyDescent="0.4">
      <c r="A263" t="s">
        <v>9</v>
      </c>
      <c r="B263" t="s">
        <v>10</v>
      </c>
      <c r="C263" t="s">
        <v>11</v>
      </c>
      <c r="D263" t="s">
        <v>12</v>
      </c>
      <c r="E263" t="s">
        <v>207</v>
      </c>
      <c r="F263" t="s">
        <v>208</v>
      </c>
      <c r="G263" t="s">
        <v>16</v>
      </c>
      <c r="H263" t="s">
        <v>15</v>
      </c>
      <c r="I263" s="1">
        <v>239</v>
      </c>
      <c r="J263" s="1">
        <v>72</v>
      </c>
      <c r="K263" s="1">
        <f t="shared" si="4"/>
        <v>311</v>
      </c>
    </row>
    <row r="264" spans="1:11" x14ac:dyDescent="0.4">
      <c r="A264" t="s">
        <v>9</v>
      </c>
      <c r="B264" t="s">
        <v>10</v>
      </c>
      <c r="C264" t="s">
        <v>11</v>
      </c>
      <c r="D264" t="s">
        <v>12</v>
      </c>
      <c r="E264" t="s">
        <v>207</v>
      </c>
      <c r="F264" t="s">
        <v>208</v>
      </c>
      <c r="G264" t="s">
        <v>16</v>
      </c>
      <c r="H264" t="s">
        <v>38</v>
      </c>
      <c r="I264" s="1">
        <v>635</v>
      </c>
      <c r="J264" s="1">
        <v>46</v>
      </c>
      <c r="K264" s="1">
        <f t="shared" si="4"/>
        <v>681</v>
      </c>
    </row>
    <row r="265" spans="1:11" x14ac:dyDescent="0.4">
      <c r="A265" t="s">
        <v>9</v>
      </c>
      <c r="B265" t="s">
        <v>10</v>
      </c>
      <c r="C265" t="s">
        <v>11</v>
      </c>
      <c r="D265" t="s">
        <v>12</v>
      </c>
      <c r="E265" t="s">
        <v>207</v>
      </c>
      <c r="F265" t="s">
        <v>208</v>
      </c>
      <c r="G265" t="s">
        <v>16</v>
      </c>
      <c r="H265" t="s">
        <v>211</v>
      </c>
      <c r="I265" s="1">
        <v>18</v>
      </c>
      <c r="J265" s="1">
        <v>0</v>
      </c>
      <c r="K265" s="1">
        <f t="shared" si="4"/>
        <v>18</v>
      </c>
    </row>
    <row r="266" spans="1:11" x14ac:dyDescent="0.4">
      <c r="A266" t="s">
        <v>9</v>
      </c>
      <c r="B266" t="s">
        <v>10</v>
      </c>
      <c r="C266" t="s">
        <v>11</v>
      </c>
      <c r="D266" t="s">
        <v>12</v>
      </c>
      <c r="E266" t="s">
        <v>207</v>
      </c>
      <c r="F266" t="s">
        <v>208</v>
      </c>
      <c r="G266" t="s">
        <v>16</v>
      </c>
      <c r="H266" t="s">
        <v>209</v>
      </c>
      <c r="I266" s="1">
        <v>25</v>
      </c>
      <c r="J266" s="1">
        <v>0</v>
      </c>
      <c r="K266" s="1">
        <f t="shared" si="4"/>
        <v>25</v>
      </c>
    </row>
    <row r="267" spans="1:11" x14ac:dyDescent="0.4">
      <c r="A267" t="s">
        <v>9</v>
      </c>
      <c r="B267" t="s">
        <v>10</v>
      </c>
      <c r="C267" t="s">
        <v>11</v>
      </c>
      <c r="D267" t="s">
        <v>12</v>
      </c>
      <c r="E267" t="s">
        <v>207</v>
      </c>
      <c r="F267" t="s">
        <v>208</v>
      </c>
      <c r="G267" t="s">
        <v>16</v>
      </c>
      <c r="H267" t="s">
        <v>39</v>
      </c>
      <c r="I267" s="1">
        <v>279</v>
      </c>
      <c r="J267" s="1">
        <v>31</v>
      </c>
      <c r="K267" s="1">
        <f t="shared" si="4"/>
        <v>310</v>
      </c>
    </row>
    <row r="268" spans="1:11" x14ac:dyDescent="0.4">
      <c r="A268" t="s">
        <v>9</v>
      </c>
      <c r="B268" t="s">
        <v>10</v>
      </c>
      <c r="C268" t="s">
        <v>11</v>
      </c>
      <c r="D268" t="s">
        <v>12</v>
      </c>
      <c r="E268" t="s">
        <v>207</v>
      </c>
      <c r="F268" t="s">
        <v>208</v>
      </c>
      <c r="G268" t="s">
        <v>16</v>
      </c>
      <c r="H268" t="s">
        <v>51</v>
      </c>
      <c r="I268" s="1">
        <v>352</v>
      </c>
      <c r="J268" s="1">
        <v>9</v>
      </c>
      <c r="K268" s="1">
        <f t="shared" si="4"/>
        <v>361</v>
      </c>
    </row>
    <row r="269" spans="1:11" x14ac:dyDescent="0.4">
      <c r="A269" t="s">
        <v>9</v>
      </c>
      <c r="B269" t="s">
        <v>10</v>
      </c>
      <c r="C269" t="s">
        <v>11</v>
      </c>
      <c r="D269" t="s">
        <v>12</v>
      </c>
      <c r="E269" t="s">
        <v>207</v>
      </c>
      <c r="F269" t="s">
        <v>208</v>
      </c>
      <c r="G269" t="s">
        <v>16</v>
      </c>
      <c r="H269" t="s">
        <v>28</v>
      </c>
      <c r="I269" s="1">
        <v>520</v>
      </c>
      <c r="J269" s="1">
        <v>11</v>
      </c>
      <c r="K269" s="1">
        <f t="shared" si="4"/>
        <v>531</v>
      </c>
    </row>
    <row r="270" spans="1:11" x14ac:dyDescent="0.4">
      <c r="A270" t="s">
        <v>9</v>
      </c>
      <c r="B270" t="s">
        <v>10</v>
      </c>
      <c r="C270" t="s">
        <v>11</v>
      </c>
      <c r="D270" t="s">
        <v>12</v>
      </c>
      <c r="E270" t="s">
        <v>207</v>
      </c>
      <c r="F270" t="s">
        <v>208</v>
      </c>
      <c r="G270" t="s">
        <v>16</v>
      </c>
      <c r="H270" t="s">
        <v>160</v>
      </c>
      <c r="I270" s="1">
        <v>325</v>
      </c>
      <c r="J270" s="1">
        <v>28</v>
      </c>
      <c r="K270" s="1">
        <f t="shared" si="4"/>
        <v>353</v>
      </c>
    </row>
    <row r="271" spans="1:11" x14ac:dyDescent="0.4">
      <c r="A271" t="s">
        <v>9</v>
      </c>
      <c r="B271" t="s">
        <v>10</v>
      </c>
      <c r="C271" t="s">
        <v>11</v>
      </c>
      <c r="D271" t="s">
        <v>12</v>
      </c>
      <c r="E271" t="s">
        <v>207</v>
      </c>
      <c r="F271" t="s">
        <v>208</v>
      </c>
      <c r="G271" t="s">
        <v>16</v>
      </c>
      <c r="H271" t="s">
        <v>31</v>
      </c>
      <c r="I271" s="1">
        <v>898</v>
      </c>
      <c r="J271" s="1">
        <v>79</v>
      </c>
      <c r="K271" s="1">
        <f t="shared" si="4"/>
        <v>977</v>
      </c>
    </row>
    <row r="272" spans="1:11" x14ac:dyDescent="0.4">
      <c r="A272" t="s">
        <v>9</v>
      </c>
      <c r="B272" t="s">
        <v>10</v>
      </c>
      <c r="C272" t="s">
        <v>11</v>
      </c>
      <c r="D272" t="s">
        <v>12</v>
      </c>
      <c r="E272" t="s">
        <v>207</v>
      </c>
      <c r="F272" t="s">
        <v>208</v>
      </c>
      <c r="G272" t="s">
        <v>16</v>
      </c>
      <c r="H272" t="s">
        <v>40</v>
      </c>
      <c r="I272" s="1">
        <v>199</v>
      </c>
      <c r="J272" s="1">
        <v>9</v>
      </c>
      <c r="K272" s="1">
        <f t="shared" si="4"/>
        <v>208</v>
      </c>
    </row>
    <row r="273" spans="1:11" x14ac:dyDescent="0.4">
      <c r="A273" t="s">
        <v>9</v>
      </c>
      <c r="B273" t="s">
        <v>10</v>
      </c>
      <c r="C273" t="s">
        <v>11</v>
      </c>
      <c r="D273" t="s">
        <v>12</v>
      </c>
      <c r="E273" t="s">
        <v>207</v>
      </c>
      <c r="F273" t="s">
        <v>208</v>
      </c>
      <c r="G273" t="s">
        <v>16</v>
      </c>
      <c r="H273" t="s">
        <v>210</v>
      </c>
      <c r="I273" s="1">
        <v>36</v>
      </c>
      <c r="J273" s="1">
        <v>1</v>
      </c>
      <c r="K273" s="1">
        <f t="shared" si="4"/>
        <v>37</v>
      </c>
    </row>
    <row r="274" spans="1:11" x14ac:dyDescent="0.4">
      <c r="A274" t="s">
        <v>9</v>
      </c>
      <c r="B274" t="s">
        <v>10</v>
      </c>
      <c r="C274" t="s">
        <v>11</v>
      </c>
      <c r="D274" t="s">
        <v>12</v>
      </c>
      <c r="E274" t="s">
        <v>207</v>
      </c>
      <c r="F274" t="s">
        <v>208</v>
      </c>
      <c r="G274" t="s">
        <v>16</v>
      </c>
      <c r="H274" t="s">
        <v>18</v>
      </c>
      <c r="I274" s="1">
        <v>1198</v>
      </c>
      <c r="J274" s="1">
        <v>111</v>
      </c>
      <c r="K274" s="1">
        <f t="shared" si="4"/>
        <v>1309</v>
      </c>
    </row>
    <row r="275" spans="1:11" hidden="1" x14ac:dyDescent="0.4">
      <c r="A275" t="s">
        <v>9</v>
      </c>
      <c r="B275" t="s">
        <v>10</v>
      </c>
      <c r="C275" t="s">
        <v>11</v>
      </c>
      <c r="D275" t="s">
        <v>12</v>
      </c>
      <c r="E275" t="s">
        <v>207</v>
      </c>
      <c r="F275" t="s">
        <v>208</v>
      </c>
      <c r="G275" t="s">
        <v>16</v>
      </c>
      <c r="H275" t="s">
        <v>8</v>
      </c>
      <c r="I275" s="1">
        <v>10105</v>
      </c>
      <c r="J275" s="1">
        <v>1472</v>
      </c>
      <c r="K275" s="1">
        <f t="shared" si="4"/>
        <v>11577</v>
      </c>
    </row>
    <row r="276" spans="1:11" x14ac:dyDescent="0.4">
      <c r="A276" t="s">
        <v>9</v>
      </c>
      <c r="B276" t="s">
        <v>10</v>
      </c>
      <c r="C276" t="s">
        <v>11</v>
      </c>
      <c r="D276" t="s">
        <v>12</v>
      </c>
      <c r="E276" t="s">
        <v>207</v>
      </c>
      <c r="F276" t="s">
        <v>208</v>
      </c>
      <c r="G276" t="s">
        <v>16</v>
      </c>
      <c r="H276" t="s">
        <v>23</v>
      </c>
      <c r="I276" s="1">
        <v>2178</v>
      </c>
      <c r="J276" s="1">
        <v>180</v>
      </c>
      <c r="K276" s="1">
        <f t="shared" si="4"/>
        <v>2358</v>
      </c>
    </row>
    <row r="277" spans="1:11" x14ac:dyDescent="0.4">
      <c r="A277" t="s">
        <v>9</v>
      </c>
      <c r="B277" t="s">
        <v>10</v>
      </c>
      <c r="C277" t="s">
        <v>11</v>
      </c>
      <c r="D277" t="s">
        <v>12</v>
      </c>
      <c r="E277" t="s">
        <v>212</v>
      </c>
      <c r="F277" t="s">
        <v>213</v>
      </c>
      <c r="G277" t="s">
        <v>16</v>
      </c>
      <c r="H277" t="s">
        <v>37</v>
      </c>
      <c r="I277" s="1">
        <v>2</v>
      </c>
      <c r="J277" s="1">
        <v>0</v>
      </c>
      <c r="K277" s="1">
        <f t="shared" si="4"/>
        <v>2</v>
      </c>
    </row>
    <row r="278" spans="1:11" x14ac:dyDescent="0.4">
      <c r="A278" t="s">
        <v>9</v>
      </c>
      <c r="B278" t="s">
        <v>10</v>
      </c>
      <c r="C278" t="s">
        <v>11</v>
      </c>
      <c r="D278" t="s">
        <v>12</v>
      </c>
      <c r="E278" t="s">
        <v>212</v>
      </c>
      <c r="F278" t="s">
        <v>213</v>
      </c>
      <c r="G278" t="s">
        <v>16</v>
      </c>
      <c r="H278" t="s">
        <v>34</v>
      </c>
      <c r="I278" s="1">
        <v>26</v>
      </c>
      <c r="J278" s="1">
        <v>0</v>
      </c>
      <c r="K278" s="1">
        <f t="shared" si="4"/>
        <v>26</v>
      </c>
    </row>
    <row r="279" spans="1:11" x14ac:dyDescent="0.4">
      <c r="A279" t="s">
        <v>9</v>
      </c>
      <c r="B279" t="s">
        <v>10</v>
      </c>
      <c r="C279" t="s">
        <v>11</v>
      </c>
      <c r="D279" t="s">
        <v>12</v>
      </c>
      <c r="E279" t="s">
        <v>212</v>
      </c>
      <c r="F279" t="s">
        <v>213</v>
      </c>
      <c r="G279" t="s">
        <v>16</v>
      </c>
      <c r="H279" t="s">
        <v>17</v>
      </c>
      <c r="I279" s="1">
        <v>10</v>
      </c>
      <c r="J279" s="1">
        <v>3</v>
      </c>
      <c r="K279" s="1">
        <f t="shared" si="4"/>
        <v>13</v>
      </c>
    </row>
    <row r="280" spans="1:11" x14ac:dyDescent="0.4">
      <c r="A280" t="s">
        <v>9</v>
      </c>
      <c r="B280" t="s">
        <v>10</v>
      </c>
      <c r="C280" t="s">
        <v>11</v>
      </c>
      <c r="D280" t="s">
        <v>12</v>
      </c>
      <c r="E280" t="s">
        <v>212</v>
      </c>
      <c r="F280" t="s">
        <v>213</v>
      </c>
      <c r="G280" t="s">
        <v>16</v>
      </c>
      <c r="H280" t="s">
        <v>15</v>
      </c>
      <c r="I280" s="1">
        <v>8</v>
      </c>
      <c r="J280" s="1">
        <v>5</v>
      </c>
      <c r="K280" s="1">
        <f t="shared" si="4"/>
        <v>13</v>
      </c>
    </row>
    <row r="281" spans="1:11" x14ac:dyDescent="0.4">
      <c r="A281" t="s">
        <v>9</v>
      </c>
      <c r="B281" t="s">
        <v>10</v>
      </c>
      <c r="C281" t="s">
        <v>11</v>
      </c>
      <c r="D281" t="s">
        <v>12</v>
      </c>
      <c r="E281" t="s">
        <v>212</v>
      </c>
      <c r="F281" t="s">
        <v>213</v>
      </c>
      <c r="G281" t="s">
        <v>16</v>
      </c>
      <c r="H281" t="s">
        <v>38</v>
      </c>
      <c r="I281" s="1">
        <v>5</v>
      </c>
      <c r="J281" s="1">
        <v>0</v>
      </c>
      <c r="K281" s="1">
        <f t="shared" si="4"/>
        <v>5</v>
      </c>
    </row>
    <row r="282" spans="1:11" x14ac:dyDescent="0.4">
      <c r="A282" t="s">
        <v>9</v>
      </c>
      <c r="B282" t="s">
        <v>10</v>
      </c>
      <c r="C282" t="s">
        <v>11</v>
      </c>
      <c r="D282" t="s">
        <v>12</v>
      </c>
      <c r="E282" t="s">
        <v>212</v>
      </c>
      <c r="F282" t="s">
        <v>213</v>
      </c>
      <c r="G282" t="s">
        <v>16</v>
      </c>
      <c r="H282" t="s">
        <v>160</v>
      </c>
      <c r="I282" s="1">
        <v>2</v>
      </c>
      <c r="J282" s="1">
        <v>0</v>
      </c>
      <c r="K282" s="1">
        <f t="shared" si="4"/>
        <v>2</v>
      </c>
    </row>
    <row r="283" spans="1:11" x14ac:dyDescent="0.4">
      <c r="A283" t="s">
        <v>9</v>
      </c>
      <c r="B283" t="s">
        <v>10</v>
      </c>
      <c r="C283" t="s">
        <v>11</v>
      </c>
      <c r="D283" t="s">
        <v>12</v>
      </c>
      <c r="E283" t="s">
        <v>212</v>
      </c>
      <c r="F283" t="s">
        <v>213</v>
      </c>
      <c r="G283" t="s">
        <v>16</v>
      </c>
      <c r="H283" t="s">
        <v>31</v>
      </c>
      <c r="I283" s="1">
        <v>10</v>
      </c>
      <c r="J283" s="1">
        <v>4</v>
      </c>
      <c r="K283" s="1">
        <f t="shared" si="4"/>
        <v>14</v>
      </c>
    </row>
    <row r="284" spans="1:11" x14ac:dyDescent="0.4">
      <c r="A284" t="s">
        <v>9</v>
      </c>
      <c r="B284" t="s">
        <v>10</v>
      </c>
      <c r="C284" t="s">
        <v>11</v>
      </c>
      <c r="D284" t="s">
        <v>12</v>
      </c>
      <c r="E284" t="s">
        <v>212</v>
      </c>
      <c r="F284" t="s">
        <v>213</v>
      </c>
      <c r="G284" t="s">
        <v>16</v>
      </c>
      <c r="H284" t="s">
        <v>18</v>
      </c>
      <c r="I284" s="1">
        <v>2</v>
      </c>
      <c r="J284" s="1">
        <v>0</v>
      </c>
      <c r="K284" s="1">
        <f t="shared" si="4"/>
        <v>2</v>
      </c>
    </row>
    <row r="285" spans="1:11" hidden="1" x14ac:dyDescent="0.4">
      <c r="A285" t="s">
        <v>9</v>
      </c>
      <c r="B285" t="s">
        <v>10</v>
      </c>
      <c r="C285" t="s">
        <v>11</v>
      </c>
      <c r="D285" t="s">
        <v>12</v>
      </c>
      <c r="E285" t="s">
        <v>212</v>
      </c>
      <c r="F285" t="s">
        <v>213</v>
      </c>
      <c r="G285" t="s">
        <v>16</v>
      </c>
      <c r="H285" t="s">
        <v>8</v>
      </c>
      <c r="I285" s="1">
        <v>76</v>
      </c>
      <c r="J285" s="1">
        <v>12</v>
      </c>
      <c r="K285" s="1">
        <f t="shared" si="4"/>
        <v>88</v>
      </c>
    </row>
    <row r="286" spans="1:11" x14ac:dyDescent="0.4">
      <c r="A286" t="s">
        <v>9</v>
      </c>
      <c r="B286" t="s">
        <v>10</v>
      </c>
      <c r="C286" t="s">
        <v>11</v>
      </c>
      <c r="D286" t="s">
        <v>12</v>
      </c>
      <c r="E286" t="s">
        <v>212</v>
      </c>
      <c r="F286" t="s">
        <v>213</v>
      </c>
      <c r="G286" t="s">
        <v>16</v>
      </c>
      <c r="H286" t="s">
        <v>23</v>
      </c>
      <c r="I286" s="1">
        <v>11</v>
      </c>
      <c r="J286" s="1">
        <v>0</v>
      </c>
      <c r="K286" s="1">
        <f t="shared" si="4"/>
        <v>11</v>
      </c>
    </row>
    <row r="287" spans="1:11" x14ac:dyDescent="0.4">
      <c r="A287" t="s">
        <v>9</v>
      </c>
      <c r="B287" t="s">
        <v>10</v>
      </c>
      <c r="C287" t="s">
        <v>11</v>
      </c>
      <c r="D287" t="s">
        <v>12</v>
      </c>
      <c r="E287" t="s">
        <v>214</v>
      </c>
      <c r="F287" t="s">
        <v>215</v>
      </c>
      <c r="G287" t="s">
        <v>16</v>
      </c>
      <c r="H287" t="s">
        <v>37</v>
      </c>
      <c r="I287" s="1">
        <v>137</v>
      </c>
      <c r="J287" s="1">
        <v>33</v>
      </c>
      <c r="K287" s="1">
        <f t="shared" si="4"/>
        <v>170</v>
      </c>
    </row>
    <row r="288" spans="1:11" x14ac:dyDescent="0.4">
      <c r="A288" t="s">
        <v>9</v>
      </c>
      <c r="B288" t="s">
        <v>10</v>
      </c>
      <c r="C288" t="s">
        <v>11</v>
      </c>
      <c r="D288" t="s">
        <v>12</v>
      </c>
      <c r="E288" t="s">
        <v>214</v>
      </c>
      <c r="F288" t="s">
        <v>215</v>
      </c>
      <c r="G288" t="s">
        <v>16</v>
      </c>
      <c r="H288" t="s">
        <v>34</v>
      </c>
      <c r="I288" s="1">
        <v>281</v>
      </c>
      <c r="J288" s="1">
        <v>10</v>
      </c>
      <c r="K288" s="1">
        <f t="shared" si="4"/>
        <v>291</v>
      </c>
    </row>
    <row r="289" spans="1:11" x14ac:dyDescent="0.4">
      <c r="A289" t="s">
        <v>9</v>
      </c>
      <c r="B289" t="s">
        <v>10</v>
      </c>
      <c r="C289" t="s">
        <v>11</v>
      </c>
      <c r="D289" t="s">
        <v>12</v>
      </c>
      <c r="E289" t="s">
        <v>214</v>
      </c>
      <c r="F289" t="s">
        <v>215</v>
      </c>
      <c r="G289" t="s">
        <v>16</v>
      </c>
      <c r="H289" t="s">
        <v>17</v>
      </c>
      <c r="I289" s="1">
        <v>475</v>
      </c>
      <c r="J289" s="1">
        <v>264</v>
      </c>
      <c r="K289" s="1">
        <f t="shared" si="4"/>
        <v>739</v>
      </c>
    </row>
    <row r="290" spans="1:11" x14ac:dyDescent="0.4">
      <c r="A290" t="s">
        <v>9</v>
      </c>
      <c r="B290" t="s">
        <v>10</v>
      </c>
      <c r="C290" t="s">
        <v>11</v>
      </c>
      <c r="D290" t="s">
        <v>12</v>
      </c>
      <c r="E290" t="s">
        <v>214</v>
      </c>
      <c r="F290" t="s">
        <v>215</v>
      </c>
      <c r="G290" t="s">
        <v>16</v>
      </c>
      <c r="H290" t="s">
        <v>15</v>
      </c>
      <c r="I290" s="1">
        <v>89</v>
      </c>
      <c r="J290" s="1">
        <v>20</v>
      </c>
      <c r="K290" s="1">
        <f t="shared" si="4"/>
        <v>109</v>
      </c>
    </row>
    <row r="291" spans="1:11" x14ac:dyDescent="0.4">
      <c r="A291" t="s">
        <v>9</v>
      </c>
      <c r="B291" t="s">
        <v>10</v>
      </c>
      <c r="C291" t="s">
        <v>11</v>
      </c>
      <c r="D291" t="s">
        <v>12</v>
      </c>
      <c r="E291" t="s">
        <v>214</v>
      </c>
      <c r="F291" t="s">
        <v>215</v>
      </c>
      <c r="G291" t="s">
        <v>16</v>
      </c>
      <c r="H291" t="s">
        <v>38</v>
      </c>
      <c r="I291" s="1">
        <v>244</v>
      </c>
      <c r="J291" s="1">
        <v>15</v>
      </c>
      <c r="K291" s="1">
        <f t="shared" si="4"/>
        <v>259</v>
      </c>
    </row>
    <row r="292" spans="1:11" x14ac:dyDescent="0.4">
      <c r="A292" t="s">
        <v>9</v>
      </c>
      <c r="B292" t="s">
        <v>10</v>
      </c>
      <c r="C292" t="s">
        <v>11</v>
      </c>
      <c r="D292" t="s">
        <v>12</v>
      </c>
      <c r="E292" t="s">
        <v>214</v>
      </c>
      <c r="F292" t="s">
        <v>215</v>
      </c>
      <c r="G292" t="s">
        <v>16</v>
      </c>
      <c r="H292" t="s">
        <v>211</v>
      </c>
      <c r="I292" s="1">
        <v>6</v>
      </c>
      <c r="J292" s="1">
        <v>0</v>
      </c>
      <c r="K292" s="1">
        <f t="shared" si="4"/>
        <v>6</v>
      </c>
    </row>
    <row r="293" spans="1:11" x14ac:dyDescent="0.4">
      <c r="A293" t="s">
        <v>9</v>
      </c>
      <c r="B293" t="s">
        <v>10</v>
      </c>
      <c r="C293" t="s">
        <v>11</v>
      </c>
      <c r="D293" t="s">
        <v>12</v>
      </c>
      <c r="E293" t="s">
        <v>214</v>
      </c>
      <c r="F293" t="s">
        <v>215</v>
      </c>
      <c r="G293" t="s">
        <v>16</v>
      </c>
      <c r="H293" t="s">
        <v>209</v>
      </c>
      <c r="I293" s="1">
        <v>11</v>
      </c>
      <c r="J293" s="1">
        <v>0</v>
      </c>
      <c r="K293" s="1">
        <f t="shared" si="4"/>
        <v>11</v>
      </c>
    </row>
    <row r="294" spans="1:11" x14ac:dyDescent="0.4">
      <c r="A294" t="s">
        <v>9</v>
      </c>
      <c r="B294" t="s">
        <v>10</v>
      </c>
      <c r="C294" t="s">
        <v>11</v>
      </c>
      <c r="D294" t="s">
        <v>12</v>
      </c>
      <c r="E294" t="s">
        <v>214</v>
      </c>
      <c r="F294" t="s">
        <v>215</v>
      </c>
      <c r="G294" t="s">
        <v>16</v>
      </c>
      <c r="H294" t="s">
        <v>39</v>
      </c>
      <c r="I294" s="1">
        <v>88</v>
      </c>
      <c r="J294" s="1">
        <v>3</v>
      </c>
      <c r="K294" s="1">
        <f t="shared" si="4"/>
        <v>91</v>
      </c>
    </row>
    <row r="295" spans="1:11" x14ac:dyDescent="0.4">
      <c r="A295" t="s">
        <v>9</v>
      </c>
      <c r="B295" t="s">
        <v>10</v>
      </c>
      <c r="C295" t="s">
        <v>11</v>
      </c>
      <c r="D295" t="s">
        <v>12</v>
      </c>
      <c r="E295" t="s">
        <v>214</v>
      </c>
      <c r="F295" t="s">
        <v>215</v>
      </c>
      <c r="G295" t="s">
        <v>16</v>
      </c>
      <c r="H295" t="s">
        <v>51</v>
      </c>
      <c r="I295" s="1">
        <v>126</v>
      </c>
      <c r="J295" s="1">
        <v>2</v>
      </c>
      <c r="K295" s="1">
        <f t="shared" si="4"/>
        <v>128</v>
      </c>
    </row>
    <row r="296" spans="1:11" x14ac:dyDescent="0.4">
      <c r="A296" t="s">
        <v>9</v>
      </c>
      <c r="B296" t="s">
        <v>10</v>
      </c>
      <c r="C296" t="s">
        <v>11</v>
      </c>
      <c r="D296" t="s">
        <v>12</v>
      </c>
      <c r="E296" t="s">
        <v>214</v>
      </c>
      <c r="F296" t="s">
        <v>215</v>
      </c>
      <c r="G296" t="s">
        <v>16</v>
      </c>
      <c r="H296" t="s">
        <v>28</v>
      </c>
      <c r="I296" s="1">
        <v>196</v>
      </c>
      <c r="J296" s="1">
        <v>4</v>
      </c>
      <c r="K296" s="1">
        <f t="shared" si="4"/>
        <v>200</v>
      </c>
    </row>
    <row r="297" spans="1:11" x14ac:dyDescent="0.4">
      <c r="A297" t="s">
        <v>9</v>
      </c>
      <c r="B297" t="s">
        <v>10</v>
      </c>
      <c r="C297" t="s">
        <v>11</v>
      </c>
      <c r="D297" t="s">
        <v>12</v>
      </c>
      <c r="E297" t="s">
        <v>214</v>
      </c>
      <c r="F297" t="s">
        <v>215</v>
      </c>
      <c r="G297" t="s">
        <v>16</v>
      </c>
      <c r="H297" t="s">
        <v>160</v>
      </c>
      <c r="I297" s="1">
        <v>106</v>
      </c>
      <c r="J297" s="1">
        <v>13</v>
      </c>
      <c r="K297" s="1">
        <f t="shared" si="4"/>
        <v>119</v>
      </c>
    </row>
    <row r="298" spans="1:11" x14ac:dyDescent="0.4">
      <c r="A298" t="s">
        <v>9</v>
      </c>
      <c r="B298" t="s">
        <v>10</v>
      </c>
      <c r="C298" t="s">
        <v>11</v>
      </c>
      <c r="D298" t="s">
        <v>12</v>
      </c>
      <c r="E298" t="s">
        <v>214</v>
      </c>
      <c r="F298" t="s">
        <v>215</v>
      </c>
      <c r="G298" t="s">
        <v>16</v>
      </c>
      <c r="H298" t="s">
        <v>31</v>
      </c>
      <c r="I298" s="1">
        <v>462</v>
      </c>
      <c r="J298" s="1">
        <v>22</v>
      </c>
      <c r="K298" s="1">
        <f t="shared" si="4"/>
        <v>484</v>
      </c>
    </row>
    <row r="299" spans="1:11" x14ac:dyDescent="0.4">
      <c r="A299" t="s">
        <v>9</v>
      </c>
      <c r="B299" t="s">
        <v>10</v>
      </c>
      <c r="C299" t="s">
        <v>11</v>
      </c>
      <c r="D299" t="s">
        <v>12</v>
      </c>
      <c r="E299" t="s">
        <v>214</v>
      </c>
      <c r="F299" t="s">
        <v>215</v>
      </c>
      <c r="G299" t="s">
        <v>16</v>
      </c>
      <c r="H299" t="s">
        <v>40</v>
      </c>
      <c r="I299" s="1">
        <v>61</v>
      </c>
      <c r="J299" s="1">
        <v>1</v>
      </c>
      <c r="K299" s="1">
        <f t="shared" si="4"/>
        <v>62</v>
      </c>
    </row>
    <row r="300" spans="1:11" x14ac:dyDescent="0.4">
      <c r="A300" t="s">
        <v>9</v>
      </c>
      <c r="B300" t="s">
        <v>10</v>
      </c>
      <c r="C300" t="s">
        <v>11</v>
      </c>
      <c r="D300" t="s">
        <v>12</v>
      </c>
      <c r="E300" t="s">
        <v>214</v>
      </c>
      <c r="F300" t="s">
        <v>215</v>
      </c>
      <c r="G300" t="s">
        <v>16</v>
      </c>
      <c r="H300" t="s">
        <v>210</v>
      </c>
      <c r="I300" s="1">
        <v>7</v>
      </c>
      <c r="J300" s="1">
        <v>0</v>
      </c>
      <c r="K300" s="1">
        <f t="shared" si="4"/>
        <v>7</v>
      </c>
    </row>
    <row r="301" spans="1:11" x14ac:dyDescent="0.4">
      <c r="A301" t="s">
        <v>9</v>
      </c>
      <c r="B301" t="s">
        <v>10</v>
      </c>
      <c r="C301" t="s">
        <v>11</v>
      </c>
      <c r="D301" t="s">
        <v>12</v>
      </c>
      <c r="E301" t="s">
        <v>214</v>
      </c>
      <c r="F301" t="s">
        <v>215</v>
      </c>
      <c r="G301" t="s">
        <v>16</v>
      </c>
      <c r="H301" t="s">
        <v>18</v>
      </c>
      <c r="I301" s="1">
        <v>415</v>
      </c>
      <c r="J301" s="1">
        <v>57</v>
      </c>
      <c r="K301" s="1">
        <f t="shared" si="4"/>
        <v>472</v>
      </c>
    </row>
    <row r="302" spans="1:11" hidden="1" x14ac:dyDescent="0.4">
      <c r="A302" t="s">
        <v>9</v>
      </c>
      <c r="B302" t="s">
        <v>10</v>
      </c>
      <c r="C302" t="s">
        <v>11</v>
      </c>
      <c r="D302" t="s">
        <v>12</v>
      </c>
      <c r="E302" t="s">
        <v>214</v>
      </c>
      <c r="F302" t="s">
        <v>215</v>
      </c>
      <c r="G302" t="s">
        <v>16</v>
      </c>
      <c r="H302" t="s">
        <v>8</v>
      </c>
      <c r="I302" s="1">
        <v>3515</v>
      </c>
      <c r="J302" s="1">
        <v>513</v>
      </c>
      <c r="K302" s="1">
        <f t="shared" si="4"/>
        <v>4028</v>
      </c>
    </row>
    <row r="303" spans="1:11" x14ac:dyDescent="0.4">
      <c r="A303" t="s">
        <v>9</v>
      </c>
      <c r="B303" t="s">
        <v>10</v>
      </c>
      <c r="C303" t="s">
        <v>11</v>
      </c>
      <c r="D303" t="s">
        <v>12</v>
      </c>
      <c r="E303" t="s">
        <v>214</v>
      </c>
      <c r="F303" t="s">
        <v>215</v>
      </c>
      <c r="G303" t="s">
        <v>16</v>
      </c>
      <c r="H303" t="s">
        <v>23</v>
      </c>
      <c r="I303" s="1">
        <v>811</v>
      </c>
      <c r="J303" s="1">
        <v>69</v>
      </c>
      <c r="K303" s="1">
        <f t="shared" si="4"/>
        <v>880</v>
      </c>
    </row>
    <row r="304" spans="1:11" x14ac:dyDescent="0.4">
      <c r="A304" t="s">
        <v>9</v>
      </c>
      <c r="B304" t="s">
        <v>10</v>
      </c>
      <c r="C304" t="s">
        <v>11</v>
      </c>
      <c r="D304" t="s">
        <v>12</v>
      </c>
      <c r="E304" t="s">
        <v>216</v>
      </c>
      <c r="F304" t="s">
        <v>217</v>
      </c>
      <c r="G304" t="s">
        <v>16</v>
      </c>
      <c r="H304" t="s">
        <v>37</v>
      </c>
      <c r="I304" s="1">
        <v>17</v>
      </c>
      <c r="J304" s="1">
        <v>1</v>
      </c>
      <c r="K304" s="1">
        <f t="shared" si="4"/>
        <v>18</v>
      </c>
    </row>
    <row r="305" spans="1:11" x14ac:dyDescent="0.4">
      <c r="A305" t="s">
        <v>9</v>
      </c>
      <c r="B305" t="s">
        <v>10</v>
      </c>
      <c r="C305" t="s">
        <v>11</v>
      </c>
      <c r="D305" t="s">
        <v>12</v>
      </c>
      <c r="E305" t="s">
        <v>216</v>
      </c>
      <c r="F305" t="s">
        <v>217</v>
      </c>
      <c r="G305" t="s">
        <v>16</v>
      </c>
      <c r="H305" t="s">
        <v>34</v>
      </c>
      <c r="I305" s="1">
        <v>70</v>
      </c>
      <c r="J305" s="1">
        <v>3</v>
      </c>
      <c r="K305" s="1">
        <f t="shared" si="4"/>
        <v>73</v>
      </c>
    </row>
    <row r="306" spans="1:11" x14ac:dyDescent="0.4">
      <c r="A306" t="s">
        <v>9</v>
      </c>
      <c r="B306" t="s">
        <v>10</v>
      </c>
      <c r="C306" t="s">
        <v>11</v>
      </c>
      <c r="D306" t="s">
        <v>12</v>
      </c>
      <c r="E306" t="s">
        <v>216</v>
      </c>
      <c r="F306" t="s">
        <v>217</v>
      </c>
      <c r="G306" t="s">
        <v>16</v>
      </c>
      <c r="H306" t="s">
        <v>17</v>
      </c>
      <c r="I306" s="1">
        <v>89</v>
      </c>
      <c r="J306" s="1">
        <v>39</v>
      </c>
      <c r="K306" s="1">
        <f t="shared" si="4"/>
        <v>128</v>
      </c>
    </row>
    <row r="307" spans="1:11" x14ac:dyDescent="0.4">
      <c r="A307" t="s">
        <v>9</v>
      </c>
      <c r="B307" t="s">
        <v>10</v>
      </c>
      <c r="C307" t="s">
        <v>11</v>
      </c>
      <c r="D307" t="s">
        <v>12</v>
      </c>
      <c r="E307" t="s">
        <v>216</v>
      </c>
      <c r="F307" t="s">
        <v>217</v>
      </c>
      <c r="G307" t="s">
        <v>16</v>
      </c>
      <c r="H307" t="s">
        <v>15</v>
      </c>
      <c r="I307" s="1">
        <v>85</v>
      </c>
      <c r="J307" s="1">
        <v>30</v>
      </c>
      <c r="K307" s="1">
        <f t="shared" si="4"/>
        <v>115</v>
      </c>
    </row>
    <row r="308" spans="1:11" x14ac:dyDescent="0.4">
      <c r="A308" t="s">
        <v>9</v>
      </c>
      <c r="B308" t="s">
        <v>10</v>
      </c>
      <c r="C308" t="s">
        <v>11</v>
      </c>
      <c r="D308" t="s">
        <v>12</v>
      </c>
      <c r="E308" t="s">
        <v>216</v>
      </c>
      <c r="F308" t="s">
        <v>217</v>
      </c>
      <c r="G308" t="s">
        <v>16</v>
      </c>
      <c r="H308" t="s">
        <v>38</v>
      </c>
      <c r="I308" s="1">
        <v>170</v>
      </c>
      <c r="J308" s="1">
        <v>14</v>
      </c>
      <c r="K308" s="1">
        <f t="shared" si="4"/>
        <v>184</v>
      </c>
    </row>
    <row r="309" spans="1:11" x14ac:dyDescent="0.4">
      <c r="A309" t="s">
        <v>9</v>
      </c>
      <c r="B309" t="s">
        <v>10</v>
      </c>
      <c r="C309" t="s">
        <v>11</v>
      </c>
      <c r="D309" t="s">
        <v>12</v>
      </c>
      <c r="E309" t="s">
        <v>216</v>
      </c>
      <c r="F309" t="s">
        <v>217</v>
      </c>
      <c r="G309" t="s">
        <v>16</v>
      </c>
      <c r="H309" t="s">
        <v>39</v>
      </c>
      <c r="I309" s="1">
        <v>4</v>
      </c>
      <c r="J309" s="1">
        <v>0</v>
      </c>
      <c r="K309" s="1">
        <f t="shared" si="4"/>
        <v>4</v>
      </c>
    </row>
    <row r="310" spans="1:11" x14ac:dyDescent="0.4">
      <c r="A310" t="s">
        <v>9</v>
      </c>
      <c r="B310" t="s">
        <v>10</v>
      </c>
      <c r="C310" t="s">
        <v>11</v>
      </c>
      <c r="D310" t="s">
        <v>12</v>
      </c>
      <c r="E310" t="s">
        <v>216</v>
      </c>
      <c r="F310" t="s">
        <v>217</v>
      </c>
      <c r="G310" t="s">
        <v>16</v>
      </c>
      <c r="H310" t="s">
        <v>51</v>
      </c>
      <c r="I310" s="1">
        <v>4</v>
      </c>
      <c r="J310" s="1">
        <v>1</v>
      </c>
      <c r="K310" s="1">
        <f t="shared" si="4"/>
        <v>5</v>
      </c>
    </row>
    <row r="311" spans="1:11" x14ac:dyDescent="0.4">
      <c r="A311" t="s">
        <v>9</v>
      </c>
      <c r="B311" t="s">
        <v>10</v>
      </c>
      <c r="C311" t="s">
        <v>11</v>
      </c>
      <c r="D311" t="s">
        <v>12</v>
      </c>
      <c r="E311" t="s">
        <v>216</v>
      </c>
      <c r="F311" t="s">
        <v>217</v>
      </c>
      <c r="G311" t="s">
        <v>16</v>
      </c>
      <c r="H311" t="s">
        <v>28</v>
      </c>
      <c r="I311" s="1">
        <v>22</v>
      </c>
      <c r="J311" s="1">
        <v>0</v>
      </c>
      <c r="K311" s="1">
        <f t="shared" si="4"/>
        <v>22</v>
      </c>
    </row>
    <row r="312" spans="1:11" x14ac:dyDescent="0.4">
      <c r="A312" t="s">
        <v>9</v>
      </c>
      <c r="B312" t="s">
        <v>10</v>
      </c>
      <c r="C312" t="s">
        <v>11</v>
      </c>
      <c r="D312" t="s">
        <v>12</v>
      </c>
      <c r="E312" t="s">
        <v>216</v>
      </c>
      <c r="F312" t="s">
        <v>217</v>
      </c>
      <c r="G312" t="s">
        <v>16</v>
      </c>
      <c r="H312" t="s">
        <v>160</v>
      </c>
      <c r="I312" s="1">
        <v>14</v>
      </c>
      <c r="J312" s="1">
        <v>2</v>
      </c>
      <c r="K312" s="1">
        <f t="shared" si="4"/>
        <v>16</v>
      </c>
    </row>
    <row r="313" spans="1:11" x14ac:dyDescent="0.4">
      <c r="A313" t="s">
        <v>9</v>
      </c>
      <c r="B313" t="s">
        <v>10</v>
      </c>
      <c r="C313" t="s">
        <v>11</v>
      </c>
      <c r="D313" t="s">
        <v>12</v>
      </c>
      <c r="E313" t="s">
        <v>216</v>
      </c>
      <c r="F313" t="s">
        <v>217</v>
      </c>
      <c r="G313" t="s">
        <v>16</v>
      </c>
      <c r="H313" t="s">
        <v>31</v>
      </c>
      <c r="I313" s="1">
        <v>74</v>
      </c>
      <c r="J313" s="1">
        <v>12</v>
      </c>
      <c r="K313" s="1">
        <f t="shared" si="4"/>
        <v>86</v>
      </c>
    </row>
    <row r="314" spans="1:11" x14ac:dyDescent="0.4">
      <c r="A314" t="s">
        <v>9</v>
      </c>
      <c r="B314" t="s">
        <v>10</v>
      </c>
      <c r="C314" t="s">
        <v>11</v>
      </c>
      <c r="D314" t="s">
        <v>12</v>
      </c>
      <c r="E314" t="s">
        <v>216</v>
      </c>
      <c r="F314" t="s">
        <v>217</v>
      </c>
      <c r="G314" t="s">
        <v>16</v>
      </c>
      <c r="H314" t="s">
        <v>40</v>
      </c>
      <c r="I314" s="1">
        <v>8</v>
      </c>
      <c r="J314" s="1">
        <v>0</v>
      </c>
      <c r="K314" s="1">
        <f t="shared" si="4"/>
        <v>8</v>
      </c>
    </row>
    <row r="315" spans="1:11" x14ac:dyDescent="0.4">
      <c r="A315" t="s">
        <v>9</v>
      </c>
      <c r="B315" t="s">
        <v>10</v>
      </c>
      <c r="C315" t="s">
        <v>11</v>
      </c>
      <c r="D315" t="s">
        <v>12</v>
      </c>
      <c r="E315" t="s">
        <v>216</v>
      </c>
      <c r="F315" t="s">
        <v>217</v>
      </c>
      <c r="G315" t="s">
        <v>16</v>
      </c>
      <c r="H315" t="s">
        <v>210</v>
      </c>
      <c r="I315" s="1">
        <v>1</v>
      </c>
      <c r="J315" s="1">
        <v>0</v>
      </c>
      <c r="K315" s="1">
        <f t="shared" si="4"/>
        <v>1</v>
      </c>
    </row>
    <row r="316" spans="1:11" x14ac:dyDescent="0.4">
      <c r="A316" t="s">
        <v>9</v>
      </c>
      <c r="B316" t="s">
        <v>10</v>
      </c>
      <c r="C316" t="s">
        <v>11</v>
      </c>
      <c r="D316" t="s">
        <v>12</v>
      </c>
      <c r="E316" t="s">
        <v>216</v>
      </c>
      <c r="F316" t="s">
        <v>217</v>
      </c>
      <c r="G316" t="s">
        <v>16</v>
      </c>
      <c r="H316" t="s">
        <v>18</v>
      </c>
      <c r="I316" s="1">
        <v>34</v>
      </c>
      <c r="J316" s="1">
        <v>4</v>
      </c>
      <c r="K316" s="1">
        <f t="shared" si="4"/>
        <v>38</v>
      </c>
    </row>
    <row r="317" spans="1:11" hidden="1" x14ac:dyDescent="0.4">
      <c r="A317" t="s">
        <v>9</v>
      </c>
      <c r="B317" t="s">
        <v>10</v>
      </c>
      <c r="C317" t="s">
        <v>11</v>
      </c>
      <c r="D317" t="s">
        <v>12</v>
      </c>
      <c r="E317" t="s">
        <v>216</v>
      </c>
      <c r="F317" t="s">
        <v>217</v>
      </c>
      <c r="G317" t="s">
        <v>16</v>
      </c>
      <c r="H317" t="s">
        <v>8</v>
      </c>
      <c r="I317" s="1">
        <v>824</v>
      </c>
      <c r="J317" s="1">
        <v>137</v>
      </c>
      <c r="K317" s="1">
        <f t="shared" si="4"/>
        <v>961</v>
      </c>
    </row>
    <row r="318" spans="1:11" x14ac:dyDescent="0.4">
      <c r="A318" t="s">
        <v>9</v>
      </c>
      <c r="B318" t="s">
        <v>10</v>
      </c>
      <c r="C318" t="s">
        <v>11</v>
      </c>
      <c r="D318" t="s">
        <v>12</v>
      </c>
      <c r="E318" t="s">
        <v>216</v>
      </c>
      <c r="F318" t="s">
        <v>217</v>
      </c>
      <c r="G318" t="s">
        <v>16</v>
      </c>
      <c r="H318" t="s">
        <v>23</v>
      </c>
      <c r="I318" s="1">
        <v>232</v>
      </c>
      <c r="J318" s="1">
        <v>31</v>
      </c>
      <c r="K318" s="1">
        <f t="shared" si="4"/>
        <v>263</v>
      </c>
    </row>
    <row r="319" spans="1:11" x14ac:dyDescent="0.4">
      <c r="A319" t="s">
        <v>9</v>
      </c>
      <c r="B319" t="s">
        <v>10</v>
      </c>
      <c r="C319" t="s">
        <v>11</v>
      </c>
      <c r="D319" t="s">
        <v>12</v>
      </c>
      <c r="E319" t="s">
        <v>218</v>
      </c>
      <c r="F319" t="s">
        <v>219</v>
      </c>
      <c r="G319" t="s">
        <v>16</v>
      </c>
      <c r="H319" t="s">
        <v>37</v>
      </c>
      <c r="I319" s="1">
        <v>488</v>
      </c>
      <c r="J319" s="1">
        <v>78</v>
      </c>
      <c r="K319" s="1">
        <f t="shared" si="4"/>
        <v>566</v>
      </c>
    </row>
    <row r="320" spans="1:11" x14ac:dyDescent="0.4">
      <c r="A320" t="s">
        <v>9</v>
      </c>
      <c r="B320" t="s">
        <v>10</v>
      </c>
      <c r="C320" t="s">
        <v>11</v>
      </c>
      <c r="D320" t="s">
        <v>12</v>
      </c>
      <c r="E320" t="s">
        <v>218</v>
      </c>
      <c r="F320" t="s">
        <v>219</v>
      </c>
      <c r="G320" t="s">
        <v>16</v>
      </c>
      <c r="H320" t="s">
        <v>34</v>
      </c>
      <c r="I320" s="1">
        <v>649</v>
      </c>
      <c r="J320" s="1">
        <v>22</v>
      </c>
      <c r="K320" s="1">
        <f t="shared" si="4"/>
        <v>671</v>
      </c>
    </row>
    <row r="321" spans="1:11" x14ac:dyDescent="0.4">
      <c r="A321" t="s">
        <v>9</v>
      </c>
      <c r="B321" t="s">
        <v>10</v>
      </c>
      <c r="C321" t="s">
        <v>11</v>
      </c>
      <c r="D321" t="s">
        <v>12</v>
      </c>
      <c r="E321" t="s">
        <v>218</v>
      </c>
      <c r="F321" t="s">
        <v>219</v>
      </c>
      <c r="G321" t="s">
        <v>16</v>
      </c>
      <c r="H321" t="s">
        <v>17</v>
      </c>
      <c r="I321" s="1">
        <v>1113</v>
      </c>
      <c r="J321" s="1">
        <v>456</v>
      </c>
      <c r="K321" s="1">
        <f t="shared" si="4"/>
        <v>1569</v>
      </c>
    </row>
    <row r="322" spans="1:11" x14ac:dyDescent="0.4">
      <c r="A322" t="s">
        <v>9</v>
      </c>
      <c r="B322" t="s">
        <v>10</v>
      </c>
      <c r="C322" t="s">
        <v>11</v>
      </c>
      <c r="D322" t="s">
        <v>12</v>
      </c>
      <c r="E322" t="s">
        <v>218</v>
      </c>
      <c r="F322" t="s">
        <v>219</v>
      </c>
      <c r="G322" t="s">
        <v>16</v>
      </c>
      <c r="H322" t="s">
        <v>15</v>
      </c>
      <c r="I322" s="1">
        <v>101</v>
      </c>
      <c r="J322" s="1">
        <v>28</v>
      </c>
      <c r="K322" s="1">
        <f t="shared" si="4"/>
        <v>129</v>
      </c>
    </row>
    <row r="323" spans="1:11" x14ac:dyDescent="0.4">
      <c r="A323" t="s">
        <v>9</v>
      </c>
      <c r="B323" t="s">
        <v>10</v>
      </c>
      <c r="C323" t="s">
        <v>11</v>
      </c>
      <c r="D323" t="s">
        <v>12</v>
      </c>
      <c r="E323" t="s">
        <v>218</v>
      </c>
      <c r="F323" t="s">
        <v>219</v>
      </c>
      <c r="G323" t="s">
        <v>16</v>
      </c>
      <c r="H323" t="s">
        <v>38</v>
      </c>
      <c r="I323" s="1">
        <v>691</v>
      </c>
      <c r="J323" s="1">
        <v>43</v>
      </c>
      <c r="K323" s="1">
        <f t="shared" ref="K323:K386" si="5">SUM(I323,J323)</f>
        <v>734</v>
      </c>
    </row>
    <row r="324" spans="1:11" x14ac:dyDescent="0.4">
      <c r="A324" t="s">
        <v>9</v>
      </c>
      <c r="B324" t="s">
        <v>10</v>
      </c>
      <c r="C324" t="s">
        <v>11</v>
      </c>
      <c r="D324" t="s">
        <v>12</v>
      </c>
      <c r="E324" t="s">
        <v>218</v>
      </c>
      <c r="F324" t="s">
        <v>219</v>
      </c>
      <c r="G324" t="s">
        <v>16</v>
      </c>
      <c r="H324" t="s">
        <v>211</v>
      </c>
      <c r="I324" s="1">
        <v>13</v>
      </c>
      <c r="J324" s="1">
        <v>0</v>
      </c>
      <c r="K324" s="1">
        <f t="shared" si="5"/>
        <v>13</v>
      </c>
    </row>
    <row r="325" spans="1:11" x14ac:dyDescent="0.4">
      <c r="A325" t="s">
        <v>9</v>
      </c>
      <c r="B325" t="s">
        <v>10</v>
      </c>
      <c r="C325" t="s">
        <v>11</v>
      </c>
      <c r="D325" t="s">
        <v>12</v>
      </c>
      <c r="E325" t="s">
        <v>218</v>
      </c>
      <c r="F325" t="s">
        <v>219</v>
      </c>
      <c r="G325" t="s">
        <v>16</v>
      </c>
      <c r="H325" t="s">
        <v>209</v>
      </c>
      <c r="I325" s="1">
        <v>51</v>
      </c>
      <c r="J325" s="1">
        <v>0</v>
      </c>
      <c r="K325" s="1">
        <f t="shared" si="5"/>
        <v>51</v>
      </c>
    </row>
    <row r="326" spans="1:11" x14ac:dyDescent="0.4">
      <c r="A326" t="s">
        <v>9</v>
      </c>
      <c r="B326" t="s">
        <v>10</v>
      </c>
      <c r="C326" t="s">
        <v>11</v>
      </c>
      <c r="D326" t="s">
        <v>12</v>
      </c>
      <c r="E326" t="s">
        <v>218</v>
      </c>
      <c r="F326" t="s">
        <v>219</v>
      </c>
      <c r="G326" t="s">
        <v>16</v>
      </c>
      <c r="H326" t="s">
        <v>39</v>
      </c>
      <c r="I326" s="1">
        <v>319</v>
      </c>
      <c r="J326" s="1">
        <v>36</v>
      </c>
      <c r="K326" s="1">
        <f t="shared" si="5"/>
        <v>355</v>
      </c>
    </row>
    <row r="327" spans="1:11" x14ac:dyDescent="0.4">
      <c r="A327" t="s">
        <v>9</v>
      </c>
      <c r="B327" t="s">
        <v>10</v>
      </c>
      <c r="C327" t="s">
        <v>11</v>
      </c>
      <c r="D327" t="s">
        <v>12</v>
      </c>
      <c r="E327" t="s">
        <v>218</v>
      </c>
      <c r="F327" t="s">
        <v>219</v>
      </c>
      <c r="G327" t="s">
        <v>16</v>
      </c>
      <c r="H327" t="s">
        <v>51</v>
      </c>
      <c r="I327" s="1">
        <v>554</v>
      </c>
      <c r="J327" s="1">
        <v>18</v>
      </c>
      <c r="K327" s="1">
        <f t="shared" si="5"/>
        <v>572</v>
      </c>
    </row>
    <row r="328" spans="1:11" x14ac:dyDescent="0.4">
      <c r="A328" t="s">
        <v>9</v>
      </c>
      <c r="B328" t="s">
        <v>10</v>
      </c>
      <c r="C328" t="s">
        <v>11</v>
      </c>
      <c r="D328" t="s">
        <v>12</v>
      </c>
      <c r="E328" t="s">
        <v>218</v>
      </c>
      <c r="F328" t="s">
        <v>219</v>
      </c>
      <c r="G328" t="s">
        <v>16</v>
      </c>
      <c r="H328" t="s">
        <v>28</v>
      </c>
      <c r="I328" s="1">
        <v>591</v>
      </c>
      <c r="J328" s="1">
        <v>16</v>
      </c>
      <c r="K328" s="1">
        <f t="shared" si="5"/>
        <v>607</v>
      </c>
    </row>
    <row r="329" spans="1:11" x14ac:dyDescent="0.4">
      <c r="A329" t="s">
        <v>9</v>
      </c>
      <c r="B329" t="s">
        <v>10</v>
      </c>
      <c r="C329" t="s">
        <v>11</v>
      </c>
      <c r="D329" t="s">
        <v>12</v>
      </c>
      <c r="E329" t="s">
        <v>218</v>
      </c>
      <c r="F329" t="s">
        <v>219</v>
      </c>
      <c r="G329" t="s">
        <v>16</v>
      </c>
      <c r="H329" t="s">
        <v>160</v>
      </c>
      <c r="I329" s="1">
        <v>432</v>
      </c>
      <c r="J329" s="1">
        <v>51</v>
      </c>
      <c r="K329" s="1">
        <f t="shared" si="5"/>
        <v>483</v>
      </c>
    </row>
    <row r="330" spans="1:11" x14ac:dyDescent="0.4">
      <c r="A330" t="s">
        <v>9</v>
      </c>
      <c r="B330" t="s">
        <v>10</v>
      </c>
      <c r="C330" t="s">
        <v>11</v>
      </c>
      <c r="D330" t="s">
        <v>12</v>
      </c>
      <c r="E330" t="s">
        <v>218</v>
      </c>
      <c r="F330" t="s">
        <v>219</v>
      </c>
      <c r="G330" t="s">
        <v>16</v>
      </c>
      <c r="H330" t="s">
        <v>31</v>
      </c>
      <c r="I330" s="1">
        <v>506</v>
      </c>
      <c r="J330" s="1">
        <v>36</v>
      </c>
      <c r="K330" s="1">
        <f t="shared" si="5"/>
        <v>542</v>
      </c>
    </row>
    <row r="331" spans="1:11" x14ac:dyDescent="0.4">
      <c r="A331" t="s">
        <v>9</v>
      </c>
      <c r="B331" t="s">
        <v>10</v>
      </c>
      <c r="C331" t="s">
        <v>11</v>
      </c>
      <c r="D331" t="s">
        <v>12</v>
      </c>
      <c r="E331" t="s">
        <v>218</v>
      </c>
      <c r="F331" t="s">
        <v>219</v>
      </c>
      <c r="G331" t="s">
        <v>16</v>
      </c>
      <c r="H331" t="s">
        <v>40</v>
      </c>
      <c r="I331" s="1">
        <v>253</v>
      </c>
      <c r="J331" s="1">
        <v>8</v>
      </c>
      <c r="K331" s="1">
        <f t="shared" si="5"/>
        <v>261</v>
      </c>
    </row>
    <row r="332" spans="1:11" x14ac:dyDescent="0.4">
      <c r="A332" t="s">
        <v>9</v>
      </c>
      <c r="B332" t="s">
        <v>10</v>
      </c>
      <c r="C332" t="s">
        <v>11</v>
      </c>
      <c r="D332" t="s">
        <v>12</v>
      </c>
      <c r="E332" t="s">
        <v>218</v>
      </c>
      <c r="F332" t="s">
        <v>219</v>
      </c>
      <c r="G332" t="s">
        <v>16</v>
      </c>
      <c r="H332" t="s">
        <v>210</v>
      </c>
      <c r="I332" s="1">
        <v>82</v>
      </c>
      <c r="J332" s="1">
        <v>0</v>
      </c>
      <c r="K332" s="1">
        <f t="shared" si="5"/>
        <v>82</v>
      </c>
    </row>
    <row r="333" spans="1:11" x14ac:dyDescent="0.4">
      <c r="A333" t="s">
        <v>9</v>
      </c>
      <c r="B333" t="s">
        <v>10</v>
      </c>
      <c r="C333" t="s">
        <v>11</v>
      </c>
      <c r="D333" t="s">
        <v>12</v>
      </c>
      <c r="E333" t="s">
        <v>218</v>
      </c>
      <c r="F333" t="s">
        <v>219</v>
      </c>
      <c r="G333" t="s">
        <v>16</v>
      </c>
      <c r="H333" t="s">
        <v>18</v>
      </c>
      <c r="I333" s="1">
        <v>1048</v>
      </c>
      <c r="J333" s="1">
        <v>115</v>
      </c>
      <c r="K333" s="1">
        <f t="shared" si="5"/>
        <v>1163</v>
      </c>
    </row>
    <row r="334" spans="1:11" hidden="1" x14ac:dyDescent="0.4">
      <c r="A334" t="s">
        <v>9</v>
      </c>
      <c r="B334" t="s">
        <v>10</v>
      </c>
      <c r="C334" t="s">
        <v>11</v>
      </c>
      <c r="D334" t="s">
        <v>12</v>
      </c>
      <c r="E334" t="s">
        <v>218</v>
      </c>
      <c r="F334" t="s">
        <v>219</v>
      </c>
      <c r="G334" t="s">
        <v>16</v>
      </c>
      <c r="H334" t="s">
        <v>8</v>
      </c>
      <c r="I334" s="1">
        <v>8470</v>
      </c>
      <c r="J334" s="1">
        <v>1028</v>
      </c>
      <c r="K334" s="1">
        <f t="shared" si="5"/>
        <v>9498</v>
      </c>
    </row>
    <row r="335" spans="1:11" x14ac:dyDescent="0.4">
      <c r="A335" t="s">
        <v>9</v>
      </c>
      <c r="B335" t="s">
        <v>10</v>
      </c>
      <c r="C335" t="s">
        <v>11</v>
      </c>
      <c r="D335" t="s">
        <v>12</v>
      </c>
      <c r="E335" t="s">
        <v>218</v>
      </c>
      <c r="F335" t="s">
        <v>219</v>
      </c>
      <c r="G335" t="s">
        <v>16</v>
      </c>
      <c r="H335" t="s">
        <v>23</v>
      </c>
      <c r="I335" s="1">
        <v>1579</v>
      </c>
      <c r="J335" s="1">
        <v>121</v>
      </c>
      <c r="K335" s="1">
        <f t="shared" si="5"/>
        <v>1700</v>
      </c>
    </row>
    <row r="336" spans="1:11" x14ac:dyDescent="0.4">
      <c r="A336" t="s">
        <v>9</v>
      </c>
      <c r="B336" t="s">
        <v>10</v>
      </c>
      <c r="C336" t="s">
        <v>11</v>
      </c>
      <c r="D336" t="s">
        <v>12</v>
      </c>
      <c r="E336" t="s">
        <v>220</v>
      </c>
      <c r="F336" t="s">
        <v>221</v>
      </c>
      <c r="G336" t="s">
        <v>16</v>
      </c>
      <c r="H336" t="s">
        <v>37</v>
      </c>
      <c r="I336" s="1">
        <v>1</v>
      </c>
      <c r="J336" s="1">
        <v>0</v>
      </c>
      <c r="K336" s="1">
        <f t="shared" si="5"/>
        <v>1</v>
      </c>
    </row>
    <row r="337" spans="1:11" x14ac:dyDescent="0.4">
      <c r="A337" t="s">
        <v>9</v>
      </c>
      <c r="B337" t="s">
        <v>10</v>
      </c>
      <c r="C337" t="s">
        <v>11</v>
      </c>
      <c r="D337" t="s">
        <v>12</v>
      </c>
      <c r="E337" t="s">
        <v>220</v>
      </c>
      <c r="F337" t="s">
        <v>221</v>
      </c>
      <c r="G337" t="s">
        <v>16</v>
      </c>
      <c r="H337" t="s">
        <v>34</v>
      </c>
      <c r="I337" s="1">
        <v>26</v>
      </c>
      <c r="J337" s="1">
        <v>1</v>
      </c>
      <c r="K337" s="1">
        <f t="shared" si="5"/>
        <v>27</v>
      </c>
    </row>
    <row r="338" spans="1:11" x14ac:dyDescent="0.4">
      <c r="A338" t="s">
        <v>9</v>
      </c>
      <c r="B338" t="s">
        <v>10</v>
      </c>
      <c r="C338" t="s">
        <v>11</v>
      </c>
      <c r="D338" t="s">
        <v>12</v>
      </c>
      <c r="E338" t="s">
        <v>220</v>
      </c>
      <c r="F338" t="s">
        <v>221</v>
      </c>
      <c r="G338" t="s">
        <v>16</v>
      </c>
      <c r="H338" t="s">
        <v>17</v>
      </c>
      <c r="I338" s="1">
        <v>13</v>
      </c>
      <c r="J338" s="1">
        <v>4</v>
      </c>
      <c r="K338" s="1">
        <f t="shared" si="5"/>
        <v>17</v>
      </c>
    </row>
    <row r="339" spans="1:11" x14ac:dyDescent="0.4">
      <c r="A339" t="s">
        <v>9</v>
      </c>
      <c r="B339" t="s">
        <v>10</v>
      </c>
      <c r="C339" t="s">
        <v>11</v>
      </c>
      <c r="D339" t="s">
        <v>12</v>
      </c>
      <c r="E339" t="s">
        <v>220</v>
      </c>
      <c r="F339" t="s">
        <v>221</v>
      </c>
      <c r="G339" t="s">
        <v>16</v>
      </c>
      <c r="H339" t="s">
        <v>15</v>
      </c>
      <c r="I339" s="1">
        <v>19</v>
      </c>
      <c r="J339" s="1">
        <v>9</v>
      </c>
      <c r="K339" s="1">
        <f t="shared" si="5"/>
        <v>28</v>
      </c>
    </row>
    <row r="340" spans="1:11" x14ac:dyDescent="0.4">
      <c r="A340" t="s">
        <v>9</v>
      </c>
      <c r="B340" t="s">
        <v>10</v>
      </c>
      <c r="C340" t="s">
        <v>11</v>
      </c>
      <c r="D340" t="s">
        <v>12</v>
      </c>
      <c r="E340" t="s">
        <v>220</v>
      </c>
      <c r="F340" t="s">
        <v>221</v>
      </c>
      <c r="G340" t="s">
        <v>16</v>
      </c>
      <c r="H340" t="s">
        <v>38</v>
      </c>
      <c r="I340" s="1">
        <v>8</v>
      </c>
      <c r="J340" s="1">
        <v>2</v>
      </c>
      <c r="K340" s="1">
        <f t="shared" si="5"/>
        <v>10</v>
      </c>
    </row>
    <row r="341" spans="1:11" x14ac:dyDescent="0.4">
      <c r="A341" t="s">
        <v>9</v>
      </c>
      <c r="B341" t="s">
        <v>10</v>
      </c>
      <c r="C341" t="s">
        <v>11</v>
      </c>
      <c r="D341" t="s">
        <v>12</v>
      </c>
      <c r="E341" t="s">
        <v>220</v>
      </c>
      <c r="F341" t="s">
        <v>221</v>
      </c>
      <c r="G341" t="s">
        <v>16</v>
      </c>
      <c r="H341" t="s">
        <v>39</v>
      </c>
      <c r="I341" s="1">
        <v>1</v>
      </c>
      <c r="J341" s="1">
        <v>0</v>
      </c>
      <c r="K341" s="1">
        <f t="shared" si="5"/>
        <v>1</v>
      </c>
    </row>
    <row r="342" spans="1:11" x14ac:dyDescent="0.4">
      <c r="A342" t="s">
        <v>9</v>
      </c>
      <c r="B342" t="s">
        <v>10</v>
      </c>
      <c r="C342" t="s">
        <v>11</v>
      </c>
      <c r="D342" t="s">
        <v>12</v>
      </c>
      <c r="E342" t="s">
        <v>220</v>
      </c>
      <c r="F342" t="s">
        <v>221</v>
      </c>
      <c r="G342" t="s">
        <v>16</v>
      </c>
      <c r="H342" t="s">
        <v>51</v>
      </c>
      <c r="I342" s="1">
        <v>1</v>
      </c>
      <c r="J342" s="1">
        <v>0</v>
      </c>
      <c r="K342" s="1">
        <f t="shared" si="5"/>
        <v>1</v>
      </c>
    </row>
    <row r="343" spans="1:11" x14ac:dyDescent="0.4">
      <c r="A343" t="s">
        <v>9</v>
      </c>
      <c r="B343" t="s">
        <v>10</v>
      </c>
      <c r="C343" t="s">
        <v>11</v>
      </c>
      <c r="D343" t="s">
        <v>12</v>
      </c>
      <c r="E343" t="s">
        <v>220</v>
      </c>
      <c r="F343" t="s">
        <v>221</v>
      </c>
      <c r="G343" t="s">
        <v>16</v>
      </c>
      <c r="H343" t="s">
        <v>31</v>
      </c>
      <c r="I343" s="1">
        <v>29</v>
      </c>
      <c r="J343" s="1">
        <v>5</v>
      </c>
      <c r="K343" s="1">
        <f t="shared" si="5"/>
        <v>34</v>
      </c>
    </row>
    <row r="344" spans="1:11" x14ac:dyDescent="0.4">
      <c r="A344" t="s">
        <v>9</v>
      </c>
      <c r="B344" t="s">
        <v>10</v>
      </c>
      <c r="C344" t="s">
        <v>11</v>
      </c>
      <c r="D344" t="s">
        <v>12</v>
      </c>
      <c r="E344" t="s">
        <v>220</v>
      </c>
      <c r="F344" t="s">
        <v>221</v>
      </c>
      <c r="G344" t="s">
        <v>16</v>
      </c>
      <c r="H344" t="s">
        <v>18</v>
      </c>
      <c r="I344" s="1">
        <v>7</v>
      </c>
      <c r="J344" s="1">
        <v>0</v>
      </c>
      <c r="K344" s="1">
        <f t="shared" si="5"/>
        <v>7</v>
      </c>
    </row>
    <row r="345" spans="1:11" hidden="1" x14ac:dyDescent="0.4">
      <c r="A345" t="s">
        <v>9</v>
      </c>
      <c r="B345" t="s">
        <v>10</v>
      </c>
      <c r="C345" t="s">
        <v>11</v>
      </c>
      <c r="D345" t="s">
        <v>12</v>
      </c>
      <c r="E345" t="s">
        <v>220</v>
      </c>
      <c r="F345" t="s">
        <v>221</v>
      </c>
      <c r="G345" t="s">
        <v>16</v>
      </c>
      <c r="H345" t="s">
        <v>8</v>
      </c>
      <c r="I345" s="1">
        <v>122</v>
      </c>
      <c r="J345" s="1">
        <v>23</v>
      </c>
      <c r="K345" s="1">
        <f t="shared" si="5"/>
        <v>145</v>
      </c>
    </row>
    <row r="346" spans="1:11" x14ac:dyDescent="0.4">
      <c r="A346" t="s">
        <v>9</v>
      </c>
      <c r="B346" t="s">
        <v>10</v>
      </c>
      <c r="C346" t="s">
        <v>11</v>
      </c>
      <c r="D346" t="s">
        <v>12</v>
      </c>
      <c r="E346" t="s">
        <v>220</v>
      </c>
      <c r="F346" t="s">
        <v>221</v>
      </c>
      <c r="G346" t="s">
        <v>16</v>
      </c>
      <c r="H346" t="s">
        <v>23</v>
      </c>
      <c r="I346" s="1">
        <v>17</v>
      </c>
      <c r="J346" s="1">
        <v>2</v>
      </c>
      <c r="K346" s="1">
        <f t="shared" si="5"/>
        <v>19</v>
      </c>
    </row>
    <row r="347" spans="1:11" x14ac:dyDescent="0.4">
      <c r="A347" t="s">
        <v>9</v>
      </c>
      <c r="B347" t="s">
        <v>10</v>
      </c>
      <c r="C347" t="s">
        <v>11</v>
      </c>
      <c r="D347" t="s">
        <v>12</v>
      </c>
      <c r="E347" t="s">
        <v>222</v>
      </c>
      <c r="F347" t="s">
        <v>223</v>
      </c>
      <c r="G347" t="s">
        <v>16</v>
      </c>
      <c r="H347" t="s">
        <v>37</v>
      </c>
      <c r="I347" s="1">
        <v>1</v>
      </c>
      <c r="J347" s="1">
        <v>0</v>
      </c>
      <c r="K347" s="1">
        <f t="shared" si="5"/>
        <v>1</v>
      </c>
    </row>
    <row r="348" spans="1:11" x14ac:dyDescent="0.4">
      <c r="A348" t="s">
        <v>9</v>
      </c>
      <c r="B348" t="s">
        <v>10</v>
      </c>
      <c r="C348" t="s">
        <v>11</v>
      </c>
      <c r="D348" t="s">
        <v>12</v>
      </c>
      <c r="E348" t="s">
        <v>222</v>
      </c>
      <c r="F348" t="s">
        <v>223</v>
      </c>
      <c r="G348" t="s">
        <v>16</v>
      </c>
      <c r="H348" t="s">
        <v>34</v>
      </c>
      <c r="I348" s="1">
        <v>8</v>
      </c>
      <c r="J348" s="1">
        <v>1</v>
      </c>
      <c r="K348" s="1">
        <f t="shared" si="5"/>
        <v>9</v>
      </c>
    </row>
    <row r="349" spans="1:11" x14ac:dyDescent="0.4">
      <c r="A349" t="s">
        <v>9</v>
      </c>
      <c r="B349" t="s">
        <v>10</v>
      </c>
      <c r="C349" t="s">
        <v>11</v>
      </c>
      <c r="D349" t="s">
        <v>12</v>
      </c>
      <c r="E349" t="s">
        <v>222</v>
      </c>
      <c r="F349" t="s">
        <v>223</v>
      </c>
      <c r="G349" t="s">
        <v>16</v>
      </c>
      <c r="H349" t="s">
        <v>17</v>
      </c>
      <c r="I349" s="1">
        <v>0</v>
      </c>
      <c r="J349" s="1">
        <v>1</v>
      </c>
      <c r="K349" s="1">
        <f t="shared" si="5"/>
        <v>1</v>
      </c>
    </row>
    <row r="350" spans="1:11" x14ac:dyDescent="0.4">
      <c r="A350" t="s">
        <v>9</v>
      </c>
      <c r="B350" t="s">
        <v>10</v>
      </c>
      <c r="C350" t="s">
        <v>11</v>
      </c>
      <c r="D350" t="s">
        <v>12</v>
      </c>
      <c r="E350" t="s">
        <v>222</v>
      </c>
      <c r="F350" t="s">
        <v>223</v>
      </c>
      <c r="G350" t="s">
        <v>16</v>
      </c>
      <c r="H350" t="s">
        <v>15</v>
      </c>
      <c r="I350" s="1">
        <v>7</v>
      </c>
      <c r="J350" s="1">
        <v>8</v>
      </c>
      <c r="K350" s="1">
        <f t="shared" si="5"/>
        <v>15</v>
      </c>
    </row>
    <row r="351" spans="1:11" x14ac:dyDescent="0.4">
      <c r="A351" t="s">
        <v>9</v>
      </c>
      <c r="B351" t="s">
        <v>10</v>
      </c>
      <c r="C351" t="s">
        <v>11</v>
      </c>
      <c r="D351" t="s">
        <v>12</v>
      </c>
      <c r="E351" t="s">
        <v>222</v>
      </c>
      <c r="F351" t="s">
        <v>223</v>
      </c>
      <c r="G351" t="s">
        <v>16</v>
      </c>
      <c r="H351" t="s">
        <v>38</v>
      </c>
      <c r="I351" s="1">
        <v>1</v>
      </c>
      <c r="J351" s="1">
        <v>0</v>
      </c>
      <c r="K351" s="1">
        <f t="shared" si="5"/>
        <v>1</v>
      </c>
    </row>
    <row r="352" spans="1:11" x14ac:dyDescent="0.4">
      <c r="A352" t="s">
        <v>9</v>
      </c>
      <c r="B352" t="s">
        <v>10</v>
      </c>
      <c r="C352" t="s">
        <v>11</v>
      </c>
      <c r="D352" t="s">
        <v>12</v>
      </c>
      <c r="E352" t="s">
        <v>222</v>
      </c>
      <c r="F352" t="s">
        <v>223</v>
      </c>
      <c r="G352" t="s">
        <v>16</v>
      </c>
      <c r="H352" t="s">
        <v>211</v>
      </c>
      <c r="I352" s="1">
        <v>1</v>
      </c>
      <c r="J352" s="1">
        <v>0</v>
      </c>
      <c r="K352" s="1">
        <f t="shared" si="5"/>
        <v>1</v>
      </c>
    </row>
    <row r="353" spans="1:11" x14ac:dyDescent="0.4">
      <c r="A353" t="s">
        <v>9</v>
      </c>
      <c r="B353" t="s">
        <v>10</v>
      </c>
      <c r="C353" t="s">
        <v>11</v>
      </c>
      <c r="D353" t="s">
        <v>12</v>
      </c>
      <c r="E353" t="s">
        <v>222</v>
      </c>
      <c r="F353" t="s">
        <v>223</v>
      </c>
      <c r="G353" t="s">
        <v>16</v>
      </c>
      <c r="H353" t="s">
        <v>51</v>
      </c>
      <c r="I353" s="1">
        <v>1</v>
      </c>
      <c r="J353" s="1">
        <v>0</v>
      </c>
      <c r="K353" s="1">
        <f t="shared" si="5"/>
        <v>1</v>
      </c>
    </row>
    <row r="354" spans="1:11" x14ac:dyDescent="0.4">
      <c r="A354" t="s">
        <v>9</v>
      </c>
      <c r="B354" t="s">
        <v>10</v>
      </c>
      <c r="C354" t="s">
        <v>11</v>
      </c>
      <c r="D354" t="s">
        <v>12</v>
      </c>
      <c r="E354" t="s">
        <v>222</v>
      </c>
      <c r="F354" t="s">
        <v>223</v>
      </c>
      <c r="G354" t="s">
        <v>16</v>
      </c>
      <c r="H354" t="s">
        <v>160</v>
      </c>
      <c r="I354" s="1">
        <v>1</v>
      </c>
      <c r="J354" s="1">
        <v>0</v>
      </c>
      <c r="K354" s="1">
        <f t="shared" si="5"/>
        <v>1</v>
      </c>
    </row>
    <row r="355" spans="1:11" x14ac:dyDescent="0.4">
      <c r="A355" t="s">
        <v>9</v>
      </c>
      <c r="B355" t="s">
        <v>10</v>
      </c>
      <c r="C355" t="s">
        <v>11</v>
      </c>
      <c r="D355" t="s">
        <v>12</v>
      </c>
      <c r="E355" t="s">
        <v>222</v>
      </c>
      <c r="F355" t="s">
        <v>223</v>
      </c>
      <c r="G355" t="s">
        <v>16</v>
      </c>
      <c r="H355" t="s">
        <v>31</v>
      </c>
      <c r="I355" s="1">
        <v>6</v>
      </c>
      <c r="J355" s="1">
        <v>2</v>
      </c>
      <c r="K355" s="1">
        <f t="shared" si="5"/>
        <v>8</v>
      </c>
    </row>
    <row r="356" spans="1:11" x14ac:dyDescent="0.4">
      <c r="A356" t="s">
        <v>9</v>
      </c>
      <c r="B356" t="s">
        <v>10</v>
      </c>
      <c r="C356" t="s">
        <v>11</v>
      </c>
      <c r="D356" t="s">
        <v>12</v>
      </c>
      <c r="E356" t="s">
        <v>222</v>
      </c>
      <c r="F356" t="s">
        <v>223</v>
      </c>
      <c r="G356" t="s">
        <v>16</v>
      </c>
      <c r="H356" t="s">
        <v>18</v>
      </c>
      <c r="I356" s="1">
        <v>1</v>
      </c>
      <c r="J356" s="1">
        <v>0</v>
      </c>
      <c r="K356" s="1">
        <f t="shared" si="5"/>
        <v>1</v>
      </c>
    </row>
    <row r="357" spans="1:11" hidden="1" x14ac:dyDescent="0.4">
      <c r="A357" t="s">
        <v>9</v>
      </c>
      <c r="B357" t="s">
        <v>10</v>
      </c>
      <c r="C357" t="s">
        <v>11</v>
      </c>
      <c r="D357" t="s">
        <v>12</v>
      </c>
      <c r="E357" t="s">
        <v>222</v>
      </c>
      <c r="F357" t="s">
        <v>223</v>
      </c>
      <c r="G357" t="s">
        <v>16</v>
      </c>
      <c r="H357" t="s">
        <v>8</v>
      </c>
      <c r="I357" s="1">
        <v>37</v>
      </c>
      <c r="J357" s="1">
        <v>14</v>
      </c>
      <c r="K357" s="1">
        <f t="shared" si="5"/>
        <v>51</v>
      </c>
    </row>
    <row r="358" spans="1:11" x14ac:dyDescent="0.4">
      <c r="A358" t="s">
        <v>9</v>
      </c>
      <c r="B358" t="s">
        <v>10</v>
      </c>
      <c r="C358" t="s">
        <v>11</v>
      </c>
      <c r="D358" t="s">
        <v>12</v>
      </c>
      <c r="E358" t="s">
        <v>222</v>
      </c>
      <c r="F358" t="s">
        <v>223</v>
      </c>
      <c r="G358" t="s">
        <v>16</v>
      </c>
      <c r="H358" t="s">
        <v>23</v>
      </c>
      <c r="I358" s="1">
        <v>10</v>
      </c>
      <c r="J358" s="1">
        <v>2</v>
      </c>
      <c r="K358" s="1">
        <f t="shared" si="5"/>
        <v>12</v>
      </c>
    </row>
    <row r="359" spans="1:11" hidden="1" x14ac:dyDescent="0.4">
      <c r="A359" t="s">
        <v>9</v>
      </c>
      <c r="B359" t="s">
        <v>10</v>
      </c>
      <c r="C359" t="s">
        <v>11</v>
      </c>
      <c r="D359" t="s">
        <v>12</v>
      </c>
      <c r="E359" t="s">
        <v>224</v>
      </c>
      <c r="F359" t="s">
        <v>225</v>
      </c>
      <c r="G359" t="s">
        <v>16</v>
      </c>
      <c r="H359" t="s">
        <v>8</v>
      </c>
      <c r="I359" s="1">
        <v>2</v>
      </c>
      <c r="J359" s="1">
        <v>0</v>
      </c>
      <c r="K359" s="1">
        <f t="shared" si="5"/>
        <v>2</v>
      </c>
    </row>
    <row r="360" spans="1:11" x14ac:dyDescent="0.4">
      <c r="A360" t="s">
        <v>9</v>
      </c>
      <c r="B360" t="s">
        <v>10</v>
      </c>
      <c r="C360" t="s">
        <v>11</v>
      </c>
      <c r="D360" t="s">
        <v>12</v>
      </c>
      <c r="E360" t="s">
        <v>224</v>
      </c>
      <c r="F360" t="s">
        <v>225</v>
      </c>
      <c r="G360" t="s">
        <v>16</v>
      </c>
      <c r="H360" t="s">
        <v>23</v>
      </c>
      <c r="I360" s="1">
        <v>2</v>
      </c>
      <c r="J360" s="1">
        <v>0</v>
      </c>
      <c r="K360" s="1">
        <f t="shared" si="5"/>
        <v>2</v>
      </c>
    </row>
    <row r="361" spans="1:11" hidden="1" x14ac:dyDescent="0.4">
      <c r="A361" t="s">
        <v>9</v>
      </c>
      <c r="B361" t="s">
        <v>10</v>
      </c>
      <c r="C361" t="s">
        <v>11</v>
      </c>
      <c r="D361" t="s">
        <v>12</v>
      </c>
      <c r="E361" t="s">
        <v>226</v>
      </c>
      <c r="F361" t="s">
        <v>227</v>
      </c>
      <c r="G361" t="s">
        <v>16</v>
      </c>
      <c r="H361" t="s">
        <v>8</v>
      </c>
      <c r="I361" s="1">
        <v>1</v>
      </c>
      <c r="J361" s="1">
        <v>0</v>
      </c>
      <c r="K361" s="1">
        <f t="shared" si="5"/>
        <v>1</v>
      </c>
    </row>
    <row r="362" spans="1:11" x14ac:dyDescent="0.4">
      <c r="A362" t="s">
        <v>9</v>
      </c>
      <c r="B362" t="s">
        <v>10</v>
      </c>
      <c r="C362" t="s">
        <v>11</v>
      </c>
      <c r="D362" t="s">
        <v>12</v>
      </c>
      <c r="E362" t="s">
        <v>226</v>
      </c>
      <c r="F362" t="s">
        <v>227</v>
      </c>
      <c r="G362" t="s">
        <v>16</v>
      </c>
      <c r="H362" t="s">
        <v>23</v>
      </c>
      <c r="I362" s="1">
        <v>1</v>
      </c>
      <c r="J362" s="1">
        <v>0</v>
      </c>
      <c r="K362" s="1">
        <f t="shared" si="5"/>
        <v>1</v>
      </c>
    </row>
    <row r="363" spans="1:11" x14ac:dyDescent="0.4">
      <c r="A363" t="s">
        <v>9</v>
      </c>
      <c r="B363" t="s">
        <v>10</v>
      </c>
      <c r="C363" t="s">
        <v>11</v>
      </c>
      <c r="D363" t="s">
        <v>12</v>
      </c>
      <c r="E363" t="s">
        <v>228</v>
      </c>
      <c r="F363" t="s">
        <v>229</v>
      </c>
      <c r="G363" t="s">
        <v>16</v>
      </c>
      <c r="H363" t="s">
        <v>28</v>
      </c>
      <c r="I363" s="1">
        <v>1</v>
      </c>
      <c r="J363" s="1">
        <v>0</v>
      </c>
      <c r="K363" s="1">
        <f t="shared" si="5"/>
        <v>1</v>
      </c>
    </row>
    <row r="364" spans="1:11" hidden="1" x14ac:dyDescent="0.4">
      <c r="A364" t="s">
        <v>9</v>
      </c>
      <c r="B364" t="s">
        <v>10</v>
      </c>
      <c r="C364" t="s">
        <v>11</v>
      </c>
      <c r="D364" t="s">
        <v>12</v>
      </c>
      <c r="E364" t="s">
        <v>228</v>
      </c>
      <c r="F364" t="s">
        <v>229</v>
      </c>
      <c r="G364" t="s">
        <v>16</v>
      </c>
      <c r="H364" t="s">
        <v>8</v>
      </c>
      <c r="I364" s="1">
        <v>1</v>
      </c>
      <c r="J364" s="1">
        <v>0</v>
      </c>
      <c r="K364" s="1">
        <f t="shared" si="5"/>
        <v>1</v>
      </c>
    </row>
    <row r="365" spans="1:11" x14ac:dyDescent="0.4">
      <c r="A365" t="s">
        <v>9</v>
      </c>
      <c r="B365" t="s">
        <v>10</v>
      </c>
      <c r="C365" t="s">
        <v>11</v>
      </c>
      <c r="D365" t="s">
        <v>12</v>
      </c>
      <c r="E365" t="s">
        <v>230</v>
      </c>
      <c r="F365" t="s">
        <v>231</v>
      </c>
      <c r="G365" t="s">
        <v>16</v>
      </c>
      <c r="H365" t="s">
        <v>17</v>
      </c>
      <c r="I365" s="1">
        <v>2</v>
      </c>
      <c r="J365" s="1">
        <v>1</v>
      </c>
      <c r="K365" s="1">
        <f t="shared" si="5"/>
        <v>3</v>
      </c>
    </row>
    <row r="366" spans="1:11" x14ac:dyDescent="0.4">
      <c r="A366" t="s">
        <v>9</v>
      </c>
      <c r="B366" t="s">
        <v>10</v>
      </c>
      <c r="C366" t="s">
        <v>11</v>
      </c>
      <c r="D366" t="s">
        <v>12</v>
      </c>
      <c r="E366" t="s">
        <v>230</v>
      </c>
      <c r="F366" t="s">
        <v>231</v>
      </c>
      <c r="G366" t="s">
        <v>16</v>
      </c>
      <c r="H366" t="s">
        <v>40</v>
      </c>
      <c r="I366" s="1">
        <v>0</v>
      </c>
      <c r="J366" s="1">
        <v>1</v>
      </c>
      <c r="K366" s="1">
        <f t="shared" si="5"/>
        <v>1</v>
      </c>
    </row>
    <row r="367" spans="1:11" hidden="1" x14ac:dyDescent="0.4">
      <c r="A367" t="s">
        <v>9</v>
      </c>
      <c r="B367" t="s">
        <v>10</v>
      </c>
      <c r="C367" t="s">
        <v>11</v>
      </c>
      <c r="D367" t="s">
        <v>12</v>
      </c>
      <c r="E367" t="s">
        <v>230</v>
      </c>
      <c r="F367" t="s">
        <v>231</v>
      </c>
      <c r="G367" t="s">
        <v>16</v>
      </c>
      <c r="H367" t="s">
        <v>8</v>
      </c>
      <c r="I367" s="1">
        <v>3</v>
      </c>
      <c r="J367" s="1">
        <v>2</v>
      </c>
      <c r="K367" s="1">
        <f t="shared" si="5"/>
        <v>5</v>
      </c>
    </row>
    <row r="368" spans="1:11" x14ac:dyDescent="0.4">
      <c r="A368" t="s">
        <v>9</v>
      </c>
      <c r="B368" t="s">
        <v>10</v>
      </c>
      <c r="C368" t="s">
        <v>11</v>
      </c>
      <c r="D368" t="s">
        <v>12</v>
      </c>
      <c r="E368" t="s">
        <v>230</v>
      </c>
      <c r="F368" t="s">
        <v>231</v>
      </c>
      <c r="G368" t="s">
        <v>16</v>
      </c>
      <c r="H368" t="s">
        <v>23</v>
      </c>
      <c r="I368" s="1">
        <v>1</v>
      </c>
      <c r="J368" s="1">
        <v>0</v>
      </c>
      <c r="K368" s="1">
        <f t="shared" si="5"/>
        <v>1</v>
      </c>
    </row>
    <row r="369" spans="1:11" x14ac:dyDescent="0.4">
      <c r="A369" t="s">
        <v>9</v>
      </c>
      <c r="B369" t="s">
        <v>10</v>
      </c>
      <c r="C369" t="s">
        <v>11</v>
      </c>
      <c r="D369" t="s">
        <v>12</v>
      </c>
      <c r="E369" t="s">
        <v>232</v>
      </c>
      <c r="F369" t="s">
        <v>233</v>
      </c>
      <c r="G369" t="s">
        <v>16</v>
      </c>
      <c r="H369" t="s">
        <v>31</v>
      </c>
      <c r="I369" s="1">
        <v>1</v>
      </c>
      <c r="J369" s="1">
        <v>0</v>
      </c>
      <c r="K369" s="1">
        <f t="shared" si="5"/>
        <v>1</v>
      </c>
    </row>
    <row r="370" spans="1:11" hidden="1" x14ac:dyDescent="0.4">
      <c r="A370" t="s">
        <v>9</v>
      </c>
      <c r="B370" t="s">
        <v>10</v>
      </c>
      <c r="C370" t="s">
        <v>11</v>
      </c>
      <c r="D370" t="s">
        <v>12</v>
      </c>
      <c r="E370" t="s">
        <v>232</v>
      </c>
      <c r="F370" t="s">
        <v>233</v>
      </c>
      <c r="G370" t="s">
        <v>16</v>
      </c>
      <c r="H370" t="s">
        <v>8</v>
      </c>
      <c r="I370" s="1">
        <v>2</v>
      </c>
      <c r="J370" s="1">
        <v>0</v>
      </c>
      <c r="K370" s="1">
        <f t="shared" si="5"/>
        <v>2</v>
      </c>
    </row>
    <row r="371" spans="1:11" x14ac:dyDescent="0.4">
      <c r="A371" t="s">
        <v>9</v>
      </c>
      <c r="B371" t="s">
        <v>10</v>
      </c>
      <c r="C371" t="s">
        <v>11</v>
      </c>
      <c r="D371" t="s">
        <v>12</v>
      </c>
      <c r="E371" t="s">
        <v>232</v>
      </c>
      <c r="F371" t="s">
        <v>233</v>
      </c>
      <c r="G371" t="s">
        <v>16</v>
      </c>
      <c r="H371" t="s">
        <v>23</v>
      </c>
      <c r="I371" s="1">
        <v>1</v>
      </c>
      <c r="J371" s="1">
        <v>0</v>
      </c>
      <c r="K371" s="1">
        <f t="shared" si="5"/>
        <v>1</v>
      </c>
    </row>
    <row r="372" spans="1:11" x14ac:dyDescent="0.4">
      <c r="A372" t="s">
        <v>9</v>
      </c>
      <c r="B372" t="s">
        <v>10</v>
      </c>
      <c r="C372" t="s">
        <v>11</v>
      </c>
      <c r="D372" t="s">
        <v>12</v>
      </c>
      <c r="E372" t="s">
        <v>234</v>
      </c>
      <c r="F372" t="s">
        <v>235</v>
      </c>
      <c r="G372" t="s">
        <v>16</v>
      </c>
      <c r="H372" t="s">
        <v>17</v>
      </c>
      <c r="I372" s="1">
        <v>0</v>
      </c>
      <c r="J372" s="1">
        <v>1</v>
      </c>
      <c r="K372" s="1">
        <f t="shared" si="5"/>
        <v>1</v>
      </c>
    </row>
    <row r="373" spans="1:11" hidden="1" x14ac:dyDescent="0.4">
      <c r="A373" t="s">
        <v>9</v>
      </c>
      <c r="B373" t="s">
        <v>10</v>
      </c>
      <c r="C373" t="s">
        <v>11</v>
      </c>
      <c r="D373" t="s">
        <v>12</v>
      </c>
      <c r="E373" t="s">
        <v>234</v>
      </c>
      <c r="F373" t="s">
        <v>235</v>
      </c>
      <c r="G373" t="s">
        <v>16</v>
      </c>
      <c r="H373" t="s">
        <v>8</v>
      </c>
      <c r="I373" s="1">
        <v>0</v>
      </c>
      <c r="J373" s="1">
        <v>1</v>
      </c>
      <c r="K373" s="1">
        <f t="shared" si="5"/>
        <v>1</v>
      </c>
    </row>
    <row r="374" spans="1:11" x14ac:dyDescent="0.4">
      <c r="A374" t="s">
        <v>9</v>
      </c>
      <c r="B374" t="s">
        <v>10</v>
      </c>
      <c r="C374" t="s">
        <v>11</v>
      </c>
      <c r="D374" t="s">
        <v>12</v>
      </c>
      <c r="E374" t="s">
        <v>236</v>
      </c>
      <c r="F374" t="s">
        <v>237</v>
      </c>
      <c r="G374" t="s">
        <v>16</v>
      </c>
      <c r="H374" t="s">
        <v>17</v>
      </c>
      <c r="I374" s="1">
        <v>1</v>
      </c>
      <c r="J374" s="1">
        <v>0</v>
      </c>
      <c r="K374" s="1">
        <f t="shared" si="5"/>
        <v>1</v>
      </c>
    </row>
    <row r="375" spans="1:11" x14ac:dyDescent="0.4">
      <c r="A375" t="s">
        <v>9</v>
      </c>
      <c r="B375" t="s">
        <v>10</v>
      </c>
      <c r="C375" t="s">
        <v>11</v>
      </c>
      <c r="D375" t="s">
        <v>12</v>
      </c>
      <c r="E375" t="s">
        <v>236</v>
      </c>
      <c r="F375" t="s">
        <v>237</v>
      </c>
      <c r="G375" t="s">
        <v>16</v>
      </c>
      <c r="H375" t="s">
        <v>15</v>
      </c>
      <c r="I375" s="1">
        <v>0</v>
      </c>
      <c r="J375" s="1">
        <v>1</v>
      </c>
      <c r="K375" s="1">
        <f t="shared" si="5"/>
        <v>1</v>
      </c>
    </row>
    <row r="376" spans="1:11" hidden="1" x14ac:dyDescent="0.4">
      <c r="A376" t="s">
        <v>9</v>
      </c>
      <c r="B376" t="s">
        <v>10</v>
      </c>
      <c r="C376" t="s">
        <v>11</v>
      </c>
      <c r="D376" t="s">
        <v>12</v>
      </c>
      <c r="E376" t="s">
        <v>236</v>
      </c>
      <c r="F376" t="s">
        <v>237</v>
      </c>
      <c r="G376" t="s">
        <v>16</v>
      </c>
      <c r="H376" t="s">
        <v>8</v>
      </c>
      <c r="I376" s="1">
        <v>1</v>
      </c>
      <c r="J376" s="1">
        <v>1</v>
      </c>
      <c r="K376" s="1">
        <f t="shared" si="5"/>
        <v>2</v>
      </c>
    </row>
    <row r="377" spans="1:11" x14ac:dyDescent="0.4">
      <c r="A377" t="s">
        <v>9</v>
      </c>
      <c r="B377" t="s">
        <v>10</v>
      </c>
      <c r="C377" t="s">
        <v>11</v>
      </c>
      <c r="D377" t="s">
        <v>12</v>
      </c>
      <c r="E377" t="s">
        <v>238</v>
      </c>
      <c r="F377" t="s">
        <v>239</v>
      </c>
      <c r="G377" t="s">
        <v>16</v>
      </c>
      <c r="H377" t="s">
        <v>15</v>
      </c>
      <c r="I377" s="1">
        <v>1</v>
      </c>
      <c r="J377" s="1">
        <v>0</v>
      </c>
      <c r="K377" s="1">
        <f t="shared" si="5"/>
        <v>1</v>
      </c>
    </row>
    <row r="378" spans="1:11" hidden="1" x14ac:dyDescent="0.4">
      <c r="A378" t="s">
        <v>9</v>
      </c>
      <c r="B378" t="s">
        <v>10</v>
      </c>
      <c r="C378" t="s">
        <v>11</v>
      </c>
      <c r="D378" t="s">
        <v>12</v>
      </c>
      <c r="E378" t="s">
        <v>238</v>
      </c>
      <c r="F378" t="s">
        <v>239</v>
      </c>
      <c r="G378" t="s">
        <v>16</v>
      </c>
      <c r="H378" t="s">
        <v>8</v>
      </c>
      <c r="I378" s="1">
        <v>1</v>
      </c>
      <c r="J378" s="1">
        <v>0</v>
      </c>
      <c r="K378" s="1">
        <f t="shared" si="5"/>
        <v>1</v>
      </c>
    </row>
    <row r="379" spans="1:11" x14ac:dyDescent="0.4">
      <c r="A379" t="s">
        <v>9</v>
      </c>
      <c r="B379" t="s">
        <v>10</v>
      </c>
      <c r="C379" t="s">
        <v>11</v>
      </c>
      <c r="D379" t="s">
        <v>12</v>
      </c>
      <c r="E379" t="s">
        <v>240</v>
      </c>
      <c r="F379" t="s">
        <v>241</v>
      </c>
      <c r="G379" t="s">
        <v>16</v>
      </c>
      <c r="H379" t="s">
        <v>17</v>
      </c>
      <c r="I379" s="1">
        <v>1</v>
      </c>
      <c r="J379" s="1">
        <v>0</v>
      </c>
      <c r="K379" s="1">
        <f t="shared" si="5"/>
        <v>1</v>
      </c>
    </row>
    <row r="380" spans="1:11" x14ac:dyDescent="0.4">
      <c r="A380" t="s">
        <v>9</v>
      </c>
      <c r="B380" t="s">
        <v>10</v>
      </c>
      <c r="C380" t="s">
        <v>11</v>
      </c>
      <c r="D380" t="s">
        <v>12</v>
      </c>
      <c r="E380" t="s">
        <v>240</v>
      </c>
      <c r="F380" t="s">
        <v>241</v>
      </c>
      <c r="G380" t="s">
        <v>16</v>
      </c>
      <c r="H380" t="s">
        <v>209</v>
      </c>
      <c r="I380" s="1">
        <v>1</v>
      </c>
      <c r="J380" s="1">
        <v>0</v>
      </c>
      <c r="K380" s="1">
        <f t="shared" si="5"/>
        <v>1</v>
      </c>
    </row>
    <row r="381" spans="1:11" hidden="1" x14ac:dyDescent="0.4">
      <c r="A381" t="s">
        <v>9</v>
      </c>
      <c r="B381" t="s">
        <v>10</v>
      </c>
      <c r="C381" t="s">
        <v>11</v>
      </c>
      <c r="D381" t="s">
        <v>12</v>
      </c>
      <c r="E381" t="s">
        <v>240</v>
      </c>
      <c r="F381" t="s">
        <v>241</v>
      </c>
      <c r="G381" t="s">
        <v>16</v>
      </c>
      <c r="H381" t="s">
        <v>8</v>
      </c>
      <c r="I381" s="1">
        <v>2</v>
      </c>
      <c r="J381" s="1">
        <v>0</v>
      </c>
      <c r="K381" s="1">
        <f t="shared" si="5"/>
        <v>2</v>
      </c>
    </row>
    <row r="382" spans="1:11" x14ac:dyDescent="0.4">
      <c r="A382" t="s">
        <v>9</v>
      </c>
      <c r="B382" t="s">
        <v>10</v>
      </c>
      <c r="C382" t="s">
        <v>11</v>
      </c>
      <c r="D382" t="s">
        <v>12</v>
      </c>
      <c r="E382" t="s">
        <v>242</v>
      </c>
      <c r="F382" t="s">
        <v>243</v>
      </c>
      <c r="G382" t="s">
        <v>16</v>
      </c>
      <c r="H382" t="s">
        <v>17</v>
      </c>
      <c r="I382" s="1">
        <v>1</v>
      </c>
      <c r="J382" s="1">
        <v>1</v>
      </c>
      <c r="K382" s="1">
        <f t="shared" si="5"/>
        <v>2</v>
      </c>
    </row>
    <row r="383" spans="1:11" hidden="1" x14ac:dyDescent="0.4">
      <c r="A383" t="s">
        <v>9</v>
      </c>
      <c r="B383" t="s">
        <v>10</v>
      </c>
      <c r="C383" t="s">
        <v>11</v>
      </c>
      <c r="D383" t="s">
        <v>12</v>
      </c>
      <c r="E383" t="s">
        <v>242</v>
      </c>
      <c r="F383" t="s">
        <v>243</v>
      </c>
      <c r="G383" t="s">
        <v>16</v>
      </c>
      <c r="H383" t="s">
        <v>8</v>
      </c>
      <c r="I383" s="1">
        <v>1</v>
      </c>
      <c r="J383" s="1">
        <v>1</v>
      </c>
      <c r="K383" s="1">
        <f t="shared" si="5"/>
        <v>2</v>
      </c>
    </row>
    <row r="384" spans="1:11" x14ac:dyDescent="0.4">
      <c r="A384" t="s">
        <v>9</v>
      </c>
      <c r="B384" t="s">
        <v>10</v>
      </c>
      <c r="C384" t="s">
        <v>11</v>
      </c>
      <c r="D384" t="s">
        <v>12</v>
      </c>
      <c r="E384" t="s">
        <v>244</v>
      </c>
      <c r="F384" t="s">
        <v>245</v>
      </c>
      <c r="G384" t="s">
        <v>16</v>
      </c>
      <c r="H384" t="s">
        <v>17</v>
      </c>
      <c r="I384" s="1">
        <v>1</v>
      </c>
      <c r="J384" s="1">
        <v>0</v>
      </c>
      <c r="K384" s="1">
        <f t="shared" si="5"/>
        <v>1</v>
      </c>
    </row>
    <row r="385" spans="1:11" hidden="1" x14ac:dyDescent="0.4">
      <c r="A385" t="s">
        <v>9</v>
      </c>
      <c r="B385" t="s">
        <v>10</v>
      </c>
      <c r="C385" t="s">
        <v>11</v>
      </c>
      <c r="D385" t="s">
        <v>12</v>
      </c>
      <c r="E385" t="s">
        <v>244</v>
      </c>
      <c r="F385" t="s">
        <v>245</v>
      </c>
      <c r="G385" t="s">
        <v>16</v>
      </c>
      <c r="H385" t="s">
        <v>8</v>
      </c>
      <c r="I385" s="1">
        <v>1</v>
      </c>
      <c r="J385" s="1">
        <v>0</v>
      </c>
      <c r="K385" s="1">
        <f t="shared" si="5"/>
        <v>1</v>
      </c>
    </row>
    <row r="386" spans="1:11" hidden="1" x14ac:dyDescent="0.4">
      <c r="A386" t="s">
        <v>9</v>
      </c>
      <c r="B386" t="s">
        <v>10</v>
      </c>
      <c r="C386" t="s">
        <v>11</v>
      </c>
      <c r="D386" t="s">
        <v>12</v>
      </c>
      <c r="E386" t="s">
        <v>246</v>
      </c>
      <c r="F386" t="s">
        <v>247</v>
      </c>
      <c r="G386" t="s">
        <v>16</v>
      </c>
      <c r="H386" t="s">
        <v>8</v>
      </c>
      <c r="I386" s="1">
        <v>1</v>
      </c>
      <c r="J386" s="1">
        <v>0</v>
      </c>
      <c r="K386" s="1">
        <f t="shared" si="5"/>
        <v>1</v>
      </c>
    </row>
    <row r="387" spans="1:11" x14ac:dyDescent="0.4">
      <c r="A387" t="s">
        <v>9</v>
      </c>
      <c r="B387" t="s">
        <v>10</v>
      </c>
      <c r="C387" t="s">
        <v>11</v>
      </c>
      <c r="D387" t="s">
        <v>12</v>
      </c>
      <c r="E387" t="s">
        <v>246</v>
      </c>
      <c r="F387" t="s">
        <v>247</v>
      </c>
      <c r="G387" t="s">
        <v>16</v>
      </c>
      <c r="H387" t="s">
        <v>23</v>
      </c>
      <c r="I387" s="1">
        <v>1</v>
      </c>
      <c r="J387" s="1">
        <v>0</v>
      </c>
      <c r="K387" s="1">
        <f t="shared" ref="K387:K450" si="6">SUM(I387,J387)</f>
        <v>1</v>
      </c>
    </row>
    <row r="388" spans="1:11" x14ac:dyDescent="0.4">
      <c r="A388" t="s">
        <v>9</v>
      </c>
      <c r="B388" t="s">
        <v>10</v>
      </c>
      <c r="C388" t="s">
        <v>11</v>
      </c>
      <c r="D388" t="s">
        <v>12</v>
      </c>
      <c r="E388" t="s">
        <v>248</v>
      </c>
      <c r="F388" t="s">
        <v>249</v>
      </c>
      <c r="G388" t="s">
        <v>16</v>
      </c>
      <c r="H388" t="s">
        <v>18</v>
      </c>
      <c r="I388" s="1">
        <v>1</v>
      </c>
      <c r="J388" s="1">
        <v>0</v>
      </c>
      <c r="K388" s="1">
        <f t="shared" si="6"/>
        <v>1</v>
      </c>
    </row>
    <row r="389" spans="1:11" hidden="1" x14ac:dyDescent="0.4">
      <c r="A389" t="s">
        <v>9</v>
      </c>
      <c r="B389" t="s">
        <v>10</v>
      </c>
      <c r="C389" t="s">
        <v>11</v>
      </c>
      <c r="D389" t="s">
        <v>12</v>
      </c>
      <c r="E389" t="s">
        <v>248</v>
      </c>
      <c r="F389" t="s">
        <v>249</v>
      </c>
      <c r="G389" t="s">
        <v>16</v>
      </c>
      <c r="H389" t="s">
        <v>8</v>
      </c>
      <c r="I389" s="1">
        <v>1</v>
      </c>
      <c r="J389" s="1">
        <v>0</v>
      </c>
      <c r="K389" s="1">
        <f t="shared" si="6"/>
        <v>1</v>
      </c>
    </row>
    <row r="390" spans="1:11" x14ac:dyDescent="0.4">
      <c r="A390" t="s">
        <v>9</v>
      </c>
      <c r="B390" t="s">
        <v>10</v>
      </c>
      <c r="C390" t="s">
        <v>11</v>
      </c>
      <c r="D390" t="s">
        <v>12</v>
      </c>
      <c r="E390" t="s">
        <v>250</v>
      </c>
      <c r="F390" t="s">
        <v>251</v>
      </c>
      <c r="G390" t="s">
        <v>16</v>
      </c>
      <c r="H390" t="s">
        <v>15</v>
      </c>
      <c r="I390" s="1">
        <v>0</v>
      </c>
      <c r="J390" s="1">
        <v>1</v>
      </c>
      <c r="K390" s="1">
        <f t="shared" si="6"/>
        <v>1</v>
      </c>
    </row>
    <row r="391" spans="1:11" hidden="1" x14ac:dyDescent="0.4">
      <c r="A391" t="s">
        <v>9</v>
      </c>
      <c r="B391" t="s">
        <v>10</v>
      </c>
      <c r="C391" t="s">
        <v>11</v>
      </c>
      <c r="D391" t="s">
        <v>12</v>
      </c>
      <c r="E391" t="s">
        <v>250</v>
      </c>
      <c r="F391" t="s">
        <v>251</v>
      </c>
      <c r="G391" t="s">
        <v>16</v>
      </c>
      <c r="H391" t="s">
        <v>8</v>
      </c>
      <c r="I391" s="1">
        <v>0</v>
      </c>
      <c r="J391" s="1">
        <v>1</v>
      </c>
      <c r="K391" s="1">
        <f t="shared" si="6"/>
        <v>1</v>
      </c>
    </row>
    <row r="392" spans="1:11" x14ac:dyDescent="0.4">
      <c r="A392" t="s">
        <v>9</v>
      </c>
      <c r="B392" t="s">
        <v>10</v>
      </c>
      <c r="C392" t="s">
        <v>11</v>
      </c>
      <c r="D392" t="s">
        <v>12</v>
      </c>
      <c r="E392" t="s">
        <v>252</v>
      </c>
      <c r="F392" t="s">
        <v>253</v>
      </c>
      <c r="G392" t="s">
        <v>16</v>
      </c>
      <c r="H392" t="s">
        <v>17</v>
      </c>
      <c r="I392" s="1">
        <v>1</v>
      </c>
      <c r="J392" s="1">
        <v>0</v>
      </c>
      <c r="K392" s="1">
        <f t="shared" si="6"/>
        <v>1</v>
      </c>
    </row>
    <row r="393" spans="1:11" hidden="1" x14ac:dyDescent="0.4">
      <c r="A393" t="s">
        <v>9</v>
      </c>
      <c r="B393" t="s">
        <v>10</v>
      </c>
      <c r="C393" t="s">
        <v>11</v>
      </c>
      <c r="D393" t="s">
        <v>12</v>
      </c>
      <c r="E393" t="s">
        <v>252</v>
      </c>
      <c r="F393" t="s">
        <v>253</v>
      </c>
      <c r="G393" t="s">
        <v>16</v>
      </c>
      <c r="H393" t="s">
        <v>8</v>
      </c>
      <c r="I393" s="1">
        <v>1</v>
      </c>
      <c r="J393" s="1">
        <v>0</v>
      </c>
      <c r="K393" s="1">
        <f t="shared" si="6"/>
        <v>1</v>
      </c>
    </row>
    <row r="394" spans="1:11" x14ac:dyDescent="0.4">
      <c r="A394" t="s">
        <v>9</v>
      </c>
      <c r="B394" t="s">
        <v>10</v>
      </c>
      <c r="C394" t="s">
        <v>11</v>
      </c>
      <c r="D394" t="s">
        <v>12</v>
      </c>
      <c r="E394" t="s">
        <v>254</v>
      </c>
      <c r="F394" t="s">
        <v>255</v>
      </c>
      <c r="G394" t="s">
        <v>16</v>
      </c>
      <c r="H394" t="s">
        <v>34</v>
      </c>
      <c r="I394" s="1">
        <v>3</v>
      </c>
      <c r="J394" s="1">
        <v>0</v>
      </c>
      <c r="K394" s="1">
        <f t="shared" si="6"/>
        <v>3</v>
      </c>
    </row>
    <row r="395" spans="1:11" x14ac:dyDescent="0.4">
      <c r="A395" t="s">
        <v>9</v>
      </c>
      <c r="B395" t="s">
        <v>10</v>
      </c>
      <c r="C395" t="s">
        <v>11</v>
      </c>
      <c r="D395" t="s">
        <v>12</v>
      </c>
      <c r="E395" t="s">
        <v>254</v>
      </c>
      <c r="F395" t="s">
        <v>255</v>
      </c>
      <c r="G395" t="s">
        <v>16</v>
      </c>
      <c r="H395" t="s">
        <v>17</v>
      </c>
      <c r="I395" s="1">
        <v>0</v>
      </c>
      <c r="J395" s="1">
        <v>1</v>
      </c>
      <c r="K395" s="1">
        <f t="shared" si="6"/>
        <v>1</v>
      </c>
    </row>
    <row r="396" spans="1:11" hidden="1" x14ac:dyDescent="0.4">
      <c r="A396" t="s">
        <v>9</v>
      </c>
      <c r="B396" t="s">
        <v>10</v>
      </c>
      <c r="C396" t="s">
        <v>11</v>
      </c>
      <c r="D396" t="s">
        <v>12</v>
      </c>
      <c r="E396" t="s">
        <v>254</v>
      </c>
      <c r="F396" t="s">
        <v>255</v>
      </c>
      <c r="G396" t="s">
        <v>16</v>
      </c>
      <c r="H396" t="s">
        <v>8</v>
      </c>
      <c r="I396" s="1">
        <v>3</v>
      </c>
      <c r="J396" s="1">
        <v>1</v>
      </c>
      <c r="K396" s="1">
        <f t="shared" si="6"/>
        <v>4</v>
      </c>
    </row>
    <row r="397" spans="1:11" x14ac:dyDescent="0.4">
      <c r="A397" t="s">
        <v>9</v>
      </c>
      <c r="B397" t="s">
        <v>10</v>
      </c>
      <c r="C397" t="s">
        <v>11</v>
      </c>
      <c r="D397" t="s">
        <v>12</v>
      </c>
      <c r="E397" t="s">
        <v>256</v>
      </c>
      <c r="F397" t="s">
        <v>257</v>
      </c>
      <c r="G397" t="s">
        <v>16</v>
      </c>
      <c r="H397" t="s">
        <v>17</v>
      </c>
      <c r="I397" s="1">
        <v>0</v>
      </c>
      <c r="J397" s="1">
        <v>1</v>
      </c>
      <c r="K397" s="1">
        <f t="shared" si="6"/>
        <v>1</v>
      </c>
    </row>
    <row r="398" spans="1:11" hidden="1" x14ac:dyDescent="0.4">
      <c r="A398" t="s">
        <v>9</v>
      </c>
      <c r="B398" t="s">
        <v>10</v>
      </c>
      <c r="C398" t="s">
        <v>11</v>
      </c>
      <c r="D398" t="s">
        <v>12</v>
      </c>
      <c r="E398" t="s">
        <v>256</v>
      </c>
      <c r="F398" t="s">
        <v>257</v>
      </c>
      <c r="G398" t="s">
        <v>16</v>
      </c>
      <c r="H398" t="s">
        <v>8</v>
      </c>
      <c r="I398" s="1">
        <v>0</v>
      </c>
      <c r="J398" s="1">
        <v>1</v>
      </c>
      <c r="K398" s="1">
        <f t="shared" si="6"/>
        <v>1</v>
      </c>
    </row>
    <row r="399" spans="1:11" x14ac:dyDescent="0.4">
      <c r="A399" t="s">
        <v>9</v>
      </c>
      <c r="B399" t="s">
        <v>10</v>
      </c>
      <c r="C399" t="s">
        <v>11</v>
      </c>
      <c r="D399" t="s">
        <v>12</v>
      </c>
      <c r="E399" t="s">
        <v>258</v>
      </c>
      <c r="F399" t="s">
        <v>259</v>
      </c>
      <c r="G399" t="s">
        <v>16</v>
      </c>
      <c r="H399" t="s">
        <v>17</v>
      </c>
      <c r="I399" s="1">
        <v>2</v>
      </c>
      <c r="J399" s="1">
        <v>3</v>
      </c>
      <c r="K399" s="1">
        <f t="shared" si="6"/>
        <v>5</v>
      </c>
    </row>
    <row r="400" spans="1:11" x14ac:dyDescent="0.4">
      <c r="A400" t="s">
        <v>9</v>
      </c>
      <c r="B400" t="s">
        <v>10</v>
      </c>
      <c r="C400" t="s">
        <v>11</v>
      </c>
      <c r="D400" t="s">
        <v>12</v>
      </c>
      <c r="E400" t="s">
        <v>258</v>
      </c>
      <c r="F400" t="s">
        <v>259</v>
      </c>
      <c r="G400" t="s">
        <v>16</v>
      </c>
      <c r="H400" t="s">
        <v>15</v>
      </c>
      <c r="I400" s="1">
        <v>0</v>
      </c>
      <c r="J400" s="1">
        <v>2</v>
      </c>
      <c r="K400" s="1">
        <f t="shared" si="6"/>
        <v>2</v>
      </c>
    </row>
    <row r="401" spans="1:11" x14ac:dyDescent="0.4">
      <c r="A401" t="s">
        <v>9</v>
      </c>
      <c r="B401" t="s">
        <v>10</v>
      </c>
      <c r="C401" t="s">
        <v>11</v>
      </c>
      <c r="D401" t="s">
        <v>12</v>
      </c>
      <c r="E401" t="s">
        <v>258</v>
      </c>
      <c r="F401" t="s">
        <v>259</v>
      </c>
      <c r="G401" t="s">
        <v>16</v>
      </c>
      <c r="H401" t="s">
        <v>38</v>
      </c>
      <c r="I401" s="1">
        <v>1</v>
      </c>
      <c r="J401" s="1">
        <v>0</v>
      </c>
      <c r="K401" s="1">
        <f t="shared" si="6"/>
        <v>1</v>
      </c>
    </row>
    <row r="402" spans="1:11" hidden="1" x14ac:dyDescent="0.4">
      <c r="A402" t="s">
        <v>9</v>
      </c>
      <c r="B402" t="s">
        <v>10</v>
      </c>
      <c r="C402" t="s">
        <v>11</v>
      </c>
      <c r="D402" t="s">
        <v>12</v>
      </c>
      <c r="E402" t="s">
        <v>258</v>
      </c>
      <c r="F402" t="s">
        <v>259</v>
      </c>
      <c r="G402" t="s">
        <v>16</v>
      </c>
      <c r="H402" t="s">
        <v>8</v>
      </c>
      <c r="I402" s="1">
        <v>4</v>
      </c>
      <c r="J402" s="1">
        <v>5</v>
      </c>
      <c r="K402" s="1">
        <f t="shared" si="6"/>
        <v>9</v>
      </c>
    </row>
    <row r="403" spans="1:11" x14ac:dyDescent="0.4">
      <c r="A403" t="s">
        <v>9</v>
      </c>
      <c r="B403" t="s">
        <v>10</v>
      </c>
      <c r="C403" t="s">
        <v>11</v>
      </c>
      <c r="D403" t="s">
        <v>12</v>
      </c>
      <c r="E403" t="s">
        <v>258</v>
      </c>
      <c r="F403" t="s">
        <v>259</v>
      </c>
      <c r="G403" t="s">
        <v>16</v>
      </c>
      <c r="H403" t="s">
        <v>23</v>
      </c>
      <c r="I403" s="1">
        <v>1</v>
      </c>
      <c r="J403" s="1">
        <v>0</v>
      </c>
      <c r="K403" s="1">
        <f t="shared" si="6"/>
        <v>1</v>
      </c>
    </row>
    <row r="404" spans="1:11" x14ac:dyDescent="0.4">
      <c r="A404" t="s">
        <v>9</v>
      </c>
      <c r="B404" t="s">
        <v>10</v>
      </c>
      <c r="C404" t="s">
        <v>11</v>
      </c>
      <c r="D404" t="s">
        <v>12</v>
      </c>
      <c r="E404" t="s">
        <v>260</v>
      </c>
      <c r="F404" t="s">
        <v>261</v>
      </c>
      <c r="G404" t="s">
        <v>16</v>
      </c>
      <c r="H404" t="s">
        <v>15</v>
      </c>
      <c r="I404" s="1">
        <v>0</v>
      </c>
      <c r="J404" s="1">
        <v>1</v>
      </c>
      <c r="K404" s="1">
        <f t="shared" si="6"/>
        <v>1</v>
      </c>
    </row>
    <row r="405" spans="1:11" x14ac:dyDescent="0.4">
      <c r="A405" t="s">
        <v>9</v>
      </c>
      <c r="B405" t="s">
        <v>10</v>
      </c>
      <c r="C405" t="s">
        <v>11</v>
      </c>
      <c r="D405" t="s">
        <v>12</v>
      </c>
      <c r="E405" t="s">
        <v>260</v>
      </c>
      <c r="F405" t="s">
        <v>261</v>
      </c>
      <c r="G405" t="s">
        <v>16</v>
      </c>
      <c r="H405" t="s">
        <v>38</v>
      </c>
      <c r="I405" s="1">
        <v>1</v>
      </c>
      <c r="J405" s="1">
        <v>0</v>
      </c>
      <c r="K405" s="1">
        <f t="shared" si="6"/>
        <v>1</v>
      </c>
    </row>
    <row r="406" spans="1:11" hidden="1" x14ac:dyDescent="0.4">
      <c r="A406" t="s">
        <v>9</v>
      </c>
      <c r="B406" t="s">
        <v>10</v>
      </c>
      <c r="C406" t="s">
        <v>11</v>
      </c>
      <c r="D406" t="s">
        <v>12</v>
      </c>
      <c r="E406" t="s">
        <v>260</v>
      </c>
      <c r="F406" t="s">
        <v>261</v>
      </c>
      <c r="G406" t="s">
        <v>16</v>
      </c>
      <c r="H406" t="s">
        <v>8</v>
      </c>
      <c r="I406" s="1">
        <v>1</v>
      </c>
      <c r="J406" s="1">
        <v>1</v>
      </c>
      <c r="K406" s="1">
        <f t="shared" si="6"/>
        <v>2</v>
      </c>
    </row>
    <row r="407" spans="1:11" x14ac:dyDescent="0.4">
      <c r="A407" t="s">
        <v>9</v>
      </c>
      <c r="B407" t="s">
        <v>10</v>
      </c>
      <c r="C407" t="s">
        <v>11</v>
      </c>
      <c r="D407" t="s">
        <v>12</v>
      </c>
      <c r="E407" t="s">
        <v>262</v>
      </c>
      <c r="F407" t="s">
        <v>263</v>
      </c>
      <c r="G407" t="s">
        <v>16</v>
      </c>
      <c r="H407" t="s">
        <v>18</v>
      </c>
      <c r="I407" s="1">
        <v>1</v>
      </c>
      <c r="J407" s="1">
        <v>0</v>
      </c>
      <c r="K407" s="1">
        <f t="shared" si="6"/>
        <v>1</v>
      </c>
    </row>
    <row r="408" spans="1:11" hidden="1" x14ac:dyDescent="0.4">
      <c r="A408" t="s">
        <v>9</v>
      </c>
      <c r="B408" t="s">
        <v>10</v>
      </c>
      <c r="C408" t="s">
        <v>11</v>
      </c>
      <c r="D408" t="s">
        <v>12</v>
      </c>
      <c r="E408" t="s">
        <v>262</v>
      </c>
      <c r="F408" t="s">
        <v>263</v>
      </c>
      <c r="G408" t="s">
        <v>16</v>
      </c>
      <c r="H408" t="s">
        <v>8</v>
      </c>
      <c r="I408" s="1">
        <v>1</v>
      </c>
      <c r="J408" s="1">
        <v>0</v>
      </c>
      <c r="K408" s="1">
        <f t="shared" si="6"/>
        <v>1</v>
      </c>
    </row>
    <row r="409" spans="1:11" x14ac:dyDescent="0.4">
      <c r="A409" t="s">
        <v>9</v>
      </c>
      <c r="B409" t="s">
        <v>10</v>
      </c>
      <c r="C409" t="s">
        <v>11</v>
      </c>
      <c r="D409" t="s">
        <v>12</v>
      </c>
      <c r="E409" t="s">
        <v>264</v>
      </c>
      <c r="F409" t="s">
        <v>265</v>
      </c>
      <c r="G409" t="s">
        <v>16</v>
      </c>
      <c r="H409" t="s">
        <v>15</v>
      </c>
      <c r="I409" s="1">
        <v>0</v>
      </c>
      <c r="J409" s="1">
        <v>1</v>
      </c>
      <c r="K409" s="1">
        <f t="shared" si="6"/>
        <v>1</v>
      </c>
    </row>
    <row r="410" spans="1:11" hidden="1" x14ac:dyDescent="0.4">
      <c r="A410" t="s">
        <v>9</v>
      </c>
      <c r="B410" t="s">
        <v>10</v>
      </c>
      <c r="C410" t="s">
        <v>11</v>
      </c>
      <c r="D410" t="s">
        <v>12</v>
      </c>
      <c r="E410" t="s">
        <v>264</v>
      </c>
      <c r="F410" t="s">
        <v>265</v>
      </c>
      <c r="G410" t="s">
        <v>16</v>
      </c>
      <c r="H410" t="s">
        <v>8</v>
      </c>
      <c r="I410" s="1">
        <v>1</v>
      </c>
      <c r="J410" s="1">
        <v>1</v>
      </c>
      <c r="K410" s="1">
        <f t="shared" si="6"/>
        <v>2</v>
      </c>
    </row>
    <row r="411" spans="1:11" x14ac:dyDescent="0.4">
      <c r="A411" t="s">
        <v>9</v>
      </c>
      <c r="B411" t="s">
        <v>10</v>
      </c>
      <c r="C411" t="s">
        <v>11</v>
      </c>
      <c r="D411" t="s">
        <v>12</v>
      </c>
      <c r="E411" t="s">
        <v>264</v>
      </c>
      <c r="F411" t="s">
        <v>265</v>
      </c>
      <c r="G411" t="s">
        <v>16</v>
      </c>
      <c r="H411" t="s">
        <v>23</v>
      </c>
      <c r="I411" s="1">
        <v>1</v>
      </c>
      <c r="J411" s="1">
        <v>0</v>
      </c>
      <c r="K411" s="1">
        <f t="shared" si="6"/>
        <v>1</v>
      </c>
    </row>
    <row r="412" spans="1:11" x14ac:dyDescent="0.4">
      <c r="A412" t="s">
        <v>9</v>
      </c>
      <c r="B412" t="s">
        <v>10</v>
      </c>
      <c r="C412" t="s">
        <v>11</v>
      </c>
      <c r="D412" t="s">
        <v>12</v>
      </c>
      <c r="E412" t="s">
        <v>266</v>
      </c>
      <c r="F412" t="s">
        <v>267</v>
      </c>
      <c r="G412" t="s">
        <v>16</v>
      </c>
      <c r="H412" t="s">
        <v>17</v>
      </c>
      <c r="I412" s="1">
        <v>0</v>
      </c>
      <c r="J412" s="1">
        <v>3</v>
      </c>
      <c r="K412" s="1">
        <f t="shared" si="6"/>
        <v>3</v>
      </c>
    </row>
    <row r="413" spans="1:11" x14ac:dyDescent="0.4">
      <c r="A413" t="s">
        <v>9</v>
      </c>
      <c r="B413" t="s">
        <v>10</v>
      </c>
      <c r="C413" t="s">
        <v>11</v>
      </c>
      <c r="D413" t="s">
        <v>12</v>
      </c>
      <c r="E413" t="s">
        <v>266</v>
      </c>
      <c r="F413" t="s">
        <v>267</v>
      </c>
      <c r="G413" t="s">
        <v>16</v>
      </c>
      <c r="H413" t="s">
        <v>15</v>
      </c>
      <c r="I413" s="1">
        <v>0</v>
      </c>
      <c r="J413" s="1">
        <v>1</v>
      </c>
      <c r="K413" s="1">
        <f t="shared" si="6"/>
        <v>1</v>
      </c>
    </row>
    <row r="414" spans="1:11" x14ac:dyDescent="0.4">
      <c r="A414" t="s">
        <v>9</v>
      </c>
      <c r="B414" t="s">
        <v>10</v>
      </c>
      <c r="C414" t="s">
        <v>11</v>
      </c>
      <c r="D414" t="s">
        <v>12</v>
      </c>
      <c r="E414" t="s">
        <v>266</v>
      </c>
      <c r="F414" t="s">
        <v>267</v>
      </c>
      <c r="G414" t="s">
        <v>16</v>
      </c>
      <c r="H414" t="s">
        <v>51</v>
      </c>
      <c r="I414" s="1">
        <v>1</v>
      </c>
      <c r="J414" s="1">
        <v>0</v>
      </c>
      <c r="K414" s="1">
        <f t="shared" si="6"/>
        <v>1</v>
      </c>
    </row>
    <row r="415" spans="1:11" hidden="1" x14ac:dyDescent="0.4">
      <c r="A415" t="s">
        <v>9</v>
      </c>
      <c r="B415" t="s">
        <v>10</v>
      </c>
      <c r="C415" t="s">
        <v>11</v>
      </c>
      <c r="D415" t="s">
        <v>12</v>
      </c>
      <c r="E415" t="s">
        <v>266</v>
      </c>
      <c r="F415" t="s">
        <v>267</v>
      </c>
      <c r="G415" t="s">
        <v>16</v>
      </c>
      <c r="H415" t="s">
        <v>8</v>
      </c>
      <c r="I415" s="1">
        <v>1</v>
      </c>
      <c r="J415" s="1">
        <v>4</v>
      </c>
      <c r="K415" s="1">
        <f t="shared" si="6"/>
        <v>5</v>
      </c>
    </row>
    <row r="416" spans="1:11" x14ac:dyDescent="0.4">
      <c r="A416" t="s">
        <v>9</v>
      </c>
      <c r="B416" t="s">
        <v>10</v>
      </c>
      <c r="C416" t="s">
        <v>11</v>
      </c>
      <c r="D416" t="s">
        <v>12</v>
      </c>
      <c r="E416" t="s">
        <v>268</v>
      </c>
      <c r="F416" t="s">
        <v>269</v>
      </c>
      <c r="G416" t="s">
        <v>16</v>
      </c>
      <c r="H416" t="s">
        <v>17</v>
      </c>
      <c r="I416" s="1">
        <v>0</v>
      </c>
      <c r="J416" s="1">
        <v>1</v>
      </c>
      <c r="K416" s="1">
        <f t="shared" si="6"/>
        <v>1</v>
      </c>
    </row>
    <row r="417" spans="1:11" x14ac:dyDescent="0.4">
      <c r="A417" t="s">
        <v>9</v>
      </c>
      <c r="B417" t="s">
        <v>10</v>
      </c>
      <c r="C417" t="s">
        <v>11</v>
      </c>
      <c r="D417" t="s">
        <v>12</v>
      </c>
      <c r="E417" t="s">
        <v>268</v>
      </c>
      <c r="F417" t="s">
        <v>269</v>
      </c>
      <c r="G417" t="s">
        <v>16</v>
      </c>
      <c r="H417" t="s">
        <v>51</v>
      </c>
      <c r="I417" s="1">
        <v>1</v>
      </c>
      <c r="J417" s="1">
        <v>0</v>
      </c>
      <c r="K417" s="1">
        <f t="shared" si="6"/>
        <v>1</v>
      </c>
    </row>
    <row r="418" spans="1:11" hidden="1" x14ac:dyDescent="0.4">
      <c r="A418" t="s">
        <v>9</v>
      </c>
      <c r="B418" t="s">
        <v>10</v>
      </c>
      <c r="C418" t="s">
        <v>11</v>
      </c>
      <c r="D418" t="s">
        <v>12</v>
      </c>
      <c r="E418" t="s">
        <v>268</v>
      </c>
      <c r="F418" t="s">
        <v>269</v>
      </c>
      <c r="G418" t="s">
        <v>16</v>
      </c>
      <c r="H418" t="s">
        <v>8</v>
      </c>
      <c r="I418" s="1">
        <v>1</v>
      </c>
      <c r="J418" s="1">
        <v>1</v>
      </c>
      <c r="K418" s="1">
        <f t="shared" si="6"/>
        <v>2</v>
      </c>
    </row>
    <row r="419" spans="1:11" x14ac:dyDescent="0.4">
      <c r="A419" t="s">
        <v>9</v>
      </c>
      <c r="B419" t="s">
        <v>10</v>
      </c>
      <c r="C419" t="s">
        <v>11</v>
      </c>
      <c r="D419" t="s">
        <v>12</v>
      </c>
      <c r="E419" t="s">
        <v>270</v>
      </c>
      <c r="F419" t="s">
        <v>271</v>
      </c>
      <c r="G419" t="s">
        <v>16</v>
      </c>
      <c r="H419" t="s">
        <v>37</v>
      </c>
      <c r="I419" s="1">
        <v>22</v>
      </c>
      <c r="J419" s="1">
        <v>5</v>
      </c>
      <c r="K419" s="1">
        <f t="shared" si="6"/>
        <v>27</v>
      </c>
    </row>
    <row r="420" spans="1:11" x14ac:dyDescent="0.4">
      <c r="A420" t="s">
        <v>9</v>
      </c>
      <c r="B420" t="s">
        <v>10</v>
      </c>
      <c r="C420" t="s">
        <v>11</v>
      </c>
      <c r="D420" t="s">
        <v>12</v>
      </c>
      <c r="E420" t="s">
        <v>270</v>
      </c>
      <c r="F420" t="s">
        <v>271</v>
      </c>
      <c r="G420" t="s">
        <v>16</v>
      </c>
      <c r="H420" t="s">
        <v>34</v>
      </c>
      <c r="I420" s="1">
        <v>49</v>
      </c>
      <c r="J420" s="1">
        <v>3</v>
      </c>
      <c r="K420" s="1">
        <f t="shared" si="6"/>
        <v>52</v>
      </c>
    </row>
    <row r="421" spans="1:11" x14ac:dyDescent="0.4">
      <c r="A421" t="s">
        <v>9</v>
      </c>
      <c r="B421" t="s">
        <v>10</v>
      </c>
      <c r="C421" t="s">
        <v>11</v>
      </c>
      <c r="D421" t="s">
        <v>12</v>
      </c>
      <c r="E421" t="s">
        <v>270</v>
      </c>
      <c r="F421" t="s">
        <v>271</v>
      </c>
      <c r="G421" t="s">
        <v>16</v>
      </c>
      <c r="H421" t="s">
        <v>17</v>
      </c>
      <c r="I421" s="1">
        <v>88</v>
      </c>
      <c r="J421" s="1">
        <v>38</v>
      </c>
      <c r="K421" s="1">
        <f t="shared" si="6"/>
        <v>126</v>
      </c>
    </row>
    <row r="422" spans="1:11" x14ac:dyDescent="0.4">
      <c r="A422" t="s">
        <v>9</v>
      </c>
      <c r="B422" t="s">
        <v>10</v>
      </c>
      <c r="C422" t="s">
        <v>11</v>
      </c>
      <c r="D422" t="s">
        <v>12</v>
      </c>
      <c r="E422" t="s">
        <v>270</v>
      </c>
      <c r="F422" t="s">
        <v>271</v>
      </c>
      <c r="G422" t="s">
        <v>16</v>
      </c>
      <c r="H422" t="s">
        <v>15</v>
      </c>
      <c r="I422" s="1">
        <v>53</v>
      </c>
      <c r="J422" s="1">
        <v>16</v>
      </c>
      <c r="K422" s="1">
        <f t="shared" si="6"/>
        <v>69</v>
      </c>
    </row>
    <row r="423" spans="1:11" x14ac:dyDescent="0.4">
      <c r="A423" t="s">
        <v>9</v>
      </c>
      <c r="B423" t="s">
        <v>10</v>
      </c>
      <c r="C423" t="s">
        <v>11</v>
      </c>
      <c r="D423" t="s">
        <v>12</v>
      </c>
      <c r="E423" t="s">
        <v>270</v>
      </c>
      <c r="F423" t="s">
        <v>271</v>
      </c>
      <c r="G423" t="s">
        <v>16</v>
      </c>
      <c r="H423" t="s">
        <v>38</v>
      </c>
      <c r="I423" s="1">
        <v>153</v>
      </c>
      <c r="J423" s="1">
        <v>12</v>
      </c>
      <c r="K423" s="1">
        <f t="shared" si="6"/>
        <v>165</v>
      </c>
    </row>
    <row r="424" spans="1:11" x14ac:dyDescent="0.4">
      <c r="A424" t="s">
        <v>9</v>
      </c>
      <c r="B424" t="s">
        <v>10</v>
      </c>
      <c r="C424" t="s">
        <v>11</v>
      </c>
      <c r="D424" t="s">
        <v>12</v>
      </c>
      <c r="E424" t="s">
        <v>270</v>
      </c>
      <c r="F424" t="s">
        <v>271</v>
      </c>
      <c r="G424" t="s">
        <v>16</v>
      </c>
      <c r="H424" t="s">
        <v>211</v>
      </c>
      <c r="I424" s="1">
        <v>1</v>
      </c>
      <c r="J424" s="1">
        <v>0</v>
      </c>
      <c r="K424" s="1">
        <f t="shared" si="6"/>
        <v>1</v>
      </c>
    </row>
    <row r="425" spans="1:11" x14ac:dyDescent="0.4">
      <c r="A425" t="s">
        <v>9</v>
      </c>
      <c r="B425" t="s">
        <v>10</v>
      </c>
      <c r="C425" t="s">
        <v>11</v>
      </c>
      <c r="D425" t="s">
        <v>12</v>
      </c>
      <c r="E425" t="s">
        <v>270</v>
      </c>
      <c r="F425" t="s">
        <v>271</v>
      </c>
      <c r="G425" t="s">
        <v>16</v>
      </c>
      <c r="H425" t="s">
        <v>39</v>
      </c>
      <c r="I425" s="1">
        <v>14</v>
      </c>
      <c r="J425" s="1">
        <v>1</v>
      </c>
      <c r="K425" s="1">
        <f t="shared" si="6"/>
        <v>15</v>
      </c>
    </row>
    <row r="426" spans="1:11" x14ac:dyDescent="0.4">
      <c r="A426" t="s">
        <v>9</v>
      </c>
      <c r="B426" t="s">
        <v>10</v>
      </c>
      <c r="C426" t="s">
        <v>11</v>
      </c>
      <c r="D426" t="s">
        <v>12</v>
      </c>
      <c r="E426" t="s">
        <v>270</v>
      </c>
      <c r="F426" t="s">
        <v>271</v>
      </c>
      <c r="G426" t="s">
        <v>16</v>
      </c>
      <c r="H426" t="s">
        <v>51</v>
      </c>
      <c r="I426" s="1">
        <v>8</v>
      </c>
      <c r="J426" s="1">
        <v>1</v>
      </c>
      <c r="K426" s="1">
        <f t="shared" si="6"/>
        <v>9</v>
      </c>
    </row>
    <row r="427" spans="1:11" x14ac:dyDescent="0.4">
      <c r="A427" t="s">
        <v>9</v>
      </c>
      <c r="B427" t="s">
        <v>10</v>
      </c>
      <c r="C427" t="s">
        <v>11</v>
      </c>
      <c r="D427" t="s">
        <v>12</v>
      </c>
      <c r="E427" t="s">
        <v>270</v>
      </c>
      <c r="F427" t="s">
        <v>271</v>
      </c>
      <c r="G427" t="s">
        <v>16</v>
      </c>
      <c r="H427" t="s">
        <v>28</v>
      </c>
      <c r="I427" s="1">
        <v>49</v>
      </c>
      <c r="J427" s="1">
        <v>1</v>
      </c>
      <c r="K427" s="1">
        <f t="shared" si="6"/>
        <v>50</v>
      </c>
    </row>
    <row r="428" spans="1:11" x14ac:dyDescent="0.4">
      <c r="A428" t="s">
        <v>9</v>
      </c>
      <c r="B428" t="s">
        <v>10</v>
      </c>
      <c r="C428" t="s">
        <v>11</v>
      </c>
      <c r="D428" t="s">
        <v>12</v>
      </c>
      <c r="E428" t="s">
        <v>270</v>
      </c>
      <c r="F428" t="s">
        <v>271</v>
      </c>
      <c r="G428" t="s">
        <v>16</v>
      </c>
      <c r="H428" t="s">
        <v>160</v>
      </c>
      <c r="I428" s="1">
        <v>10</v>
      </c>
      <c r="J428" s="1">
        <v>0</v>
      </c>
      <c r="K428" s="1">
        <f t="shared" si="6"/>
        <v>10</v>
      </c>
    </row>
    <row r="429" spans="1:11" x14ac:dyDescent="0.4">
      <c r="A429" t="s">
        <v>9</v>
      </c>
      <c r="B429" t="s">
        <v>10</v>
      </c>
      <c r="C429" t="s">
        <v>11</v>
      </c>
      <c r="D429" t="s">
        <v>12</v>
      </c>
      <c r="E429" t="s">
        <v>270</v>
      </c>
      <c r="F429" t="s">
        <v>271</v>
      </c>
      <c r="G429" t="s">
        <v>16</v>
      </c>
      <c r="H429" t="s">
        <v>31</v>
      </c>
      <c r="I429" s="1">
        <v>58</v>
      </c>
      <c r="J429" s="1">
        <v>7</v>
      </c>
      <c r="K429" s="1">
        <f t="shared" si="6"/>
        <v>65</v>
      </c>
    </row>
    <row r="430" spans="1:11" x14ac:dyDescent="0.4">
      <c r="A430" t="s">
        <v>9</v>
      </c>
      <c r="B430" t="s">
        <v>10</v>
      </c>
      <c r="C430" t="s">
        <v>11</v>
      </c>
      <c r="D430" t="s">
        <v>12</v>
      </c>
      <c r="E430" t="s">
        <v>270</v>
      </c>
      <c r="F430" t="s">
        <v>271</v>
      </c>
      <c r="G430" t="s">
        <v>16</v>
      </c>
      <c r="H430" t="s">
        <v>40</v>
      </c>
      <c r="I430" s="1">
        <v>6</v>
      </c>
      <c r="J430" s="1">
        <v>0</v>
      </c>
      <c r="K430" s="1">
        <f t="shared" si="6"/>
        <v>6</v>
      </c>
    </row>
    <row r="431" spans="1:11" x14ac:dyDescent="0.4">
      <c r="A431" t="s">
        <v>9</v>
      </c>
      <c r="B431" t="s">
        <v>10</v>
      </c>
      <c r="C431" t="s">
        <v>11</v>
      </c>
      <c r="D431" t="s">
        <v>12</v>
      </c>
      <c r="E431" t="s">
        <v>270</v>
      </c>
      <c r="F431" t="s">
        <v>271</v>
      </c>
      <c r="G431" t="s">
        <v>16</v>
      </c>
      <c r="H431" t="s">
        <v>210</v>
      </c>
      <c r="I431" s="1">
        <v>1</v>
      </c>
      <c r="J431" s="1">
        <v>0</v>
      </c>
      <c r="K431" s="1">
        <f t="shared" si="6"/>
        <v>1</v>
      </c>
    </row>
    <row r="432" spans="1:11" x14ac:dyDescent="0.4">
      <c r="A432" t="s">
        <v>9</v>
      </c>
      <c r="B432" t="s">
        <v>10</v>
      </c>
      <c r="C432" t="s">
        <v>11</v>
      </c>
      <c r="D432" t="s">
        <v>12</v>
      </c>
      <c r="E432" t="s">
        <v>270</v>
      </c>
      <c r="F432" t="s">
        <v>271</v>
      </c>
      <c r="G432" t="s">
        <v>16</v>
      </c>
      <c r="H432" t="s">
        <v>18</v>
      </c>
      <c r="I432" s="1">
        <v>19</v>
      </c>
      <c r="J432" s="1">
        <v>2</v>
      </c>
      <c r="K432" s="1">
        <f t="shared" si="6"/>
        <v>21</v>
      </c>
    </row>
    <row r="433" spans="1:11" hidden="1" x14ac:dyDescent="0.4">
      <c r="A433" t="s">
        <v>9</v>
      </c>
      <c r="B433" t="s">
        <v>10</v>
      </c>
      <c r="C433" t="s">
        <v>11</v>
      </c>
      <c r="D433" t="s">
        <v>12</v>
      </c>
      <c r="E433" t="s">
        <v>270</v>
      </c>
      <c r="F433" t="s">
        <v>271</v>
      </c>
      <c r="G433" t="s">
        <v>16</v>
      </c>
      <c r="H433" t="s">
        <v>8</v>
      </c>
      <c r="I433" s="1">
        <v>842</v>
      </c>
      <c r="J433" s="1">
        <v>113</v>
      </c>
      <c r="K433" s="1">
        <f t="shared" si="6"/>
        <v>955</v>
      </c>
    </row>
    <row r="434" spans="1:11" x14ac:dyDescent="0.4">
      <c r="A434" t="s">
        <v>9</v>
      </c>
      <c r="B434" t="s">
        <v>10</v>
      </c>
      <c r="C434" t="s">
        <v>11</v>
      </c>
      <c r="D434" t="s">
        <v>12</v>
      </c>
      <c r="E434" t="s">
        <v>270</v>
      </c>
      <c r="F434" t="s">
        <v>271</v>
      </c>
      <c r="G434" t="s">
        <v>16</v>
      </c>
      <c r="H434" t="s">
        <v>23</v>
      </c>
      <c r="I434" s="1">
        <v>311</v>
      </c>
      <c r="J434" s="1">
        <v>27</v>
      </c>
      <c r="K434" s="1">
        <f t="shared" si="6"/>
        <v>338</v>
      </c>
    </row>
    <row r="435" spans="1:11" x14ac:dyDescent="0.4">
      <c r="A435" t="s">
        <v>9</v>
      </c>
      <c r="B435" t="s">
        <v>10</v>
      </c>
      <c r="C435" t="s">
        <v>11</v>
      </c>
      <c r="D435" t="s">
        <v>12</v>
      </c>
      <c r="E435" t="s">
        <v>272</v>
      </c>
      <c r="F435" t="s">
        <v>273</v>
      </c>
      <c r="G435" t="s">
        <v>16</v>
      </c>
      <c r="H435" t="s">
        <v>37</v>
      </c>
      <c r="I435" s="1">
        <v>19</v>
      </c>
      <c r="J435" s="1">
        <v>3</v>
      </c>
      <c r="K435" s="1">
        <f t="shared" si="6"/>
        <v>22</v>
      </c>
    </row>
    <row r="436" spans="1:11" x14ac:dyDescent="0.4">
      <c r="A436" t="s">
        <v>9</v>
      </c>
      <c r="B436" t="s">
        <v>10</v>
      </c>
      <c r="C436" t="s">
        <v>11</v>
      </c>
      <c r="D436" t="s">
        <v>12</v>
      </c>
      <c r="E436" t="s">
        <v>272</v>
      </c>
      <c r="F436" t="s">
        <v>273</v>
      </c>
      <c r="G436" t="s">
        <v>16</v>
      </c>
      <c r="H436" t="s">
        <v>34</v>
      </c>
      <c r="I436" s="1">
        <v>42</v>
      </c>
      <c r="J436" s="1">
        <v>4</v>
      </c>
      <c r="K436" s="1">
        <f t="shared" si="6"/>
        <v>46</v>
      </c>
    </row>
    <row r="437" spans="1:11" x14ac:dyDescent="0.4">
      <c r="A437" t="s">
        <v>9</v>
      </c>
      <c r="B437" t="s">
        <v>10</v>
      </c>
      <c r="C437" t="s">
        <v>11</v>
      </c>
      <c r="D437" t="s">
        <v>12</v>
      </c>
      <c r="E437" t="s">
        <v>272</v>
      </c>
      <c r="F437" t="s">
        <v>273</v>
      </c>
      <c r="G437" t="s">
        <v>16</v>
      </c>
      <c r="H437" t="s">
        <v>17</v>
      </c>
      <c r="I437" s="1">
        <v>112</v>
      </c>
      <c r="J437" s="1">
        <v>48</v>
      </c>
      <c r="K437" s="1">
        <f t="shared" si="6"/>
        <v>160</v>
      </c>
    </row>
    <row r="438" spans="1:11" x14ac:dyDescent="0.4">
      <c r="A438" t="s">
        <v>9</v>
      </c>
      <c r="B438" t="s">
        <v>10</v>
      </c>
      <c r="C438" t="s">
        <v>11</v>
      </c>
      <c r="D438" t="s">
        <v>12</v>
      </c>
      <c r="E438" t="s">
        <v>272</v>
      </c>
      <c r="F438" t="s">
        <v>273</v>
      </c>
      <c r="G438" t="s">
        <v>16</v>
      </c>
      <c r="H438" t="s">
        <v>15</v>
      </c>
      <c r="I438" s="1">
        <v>89</v>
      </c>
      <c r="J438" s="1">
        <v>38</v>
      </c>
      <c r="K438" s="1">
        <f t="shared" si="6"/>
        <v>127</v>
      </c>
    </row>
    <row r="439" spans="1:11" x14ac:dyDescent="0.4">
      <c r="A439" t="s">
        <v>9</v>
      </c>
      <c r="B439" t="s">
        <v>10</v>
      </c>
      <c r="C439" t="s">
        <v>11</v>
      </c>
      <c r="D439" t="s">
        <v>12</v>
      </c>
      <c r="E439" t="s">
        <v>272</v>
      </c>
      <c r="F439" t="s">
        <v>273</v>
      </c>
      <c r="G439" t="s">
        <v>16</v>
      </c>
      <c r="H439" t="s">
        <v>38</v>
      </c>
      <c r="I439" s="1">
        <v>139</v>
      </c>
      <c r="J439" s="1">
        <v>14</v>
      </c>
      <c r="K439" s="1">
        <f t="shared" si="6"/>
        <v>153</v>
      </c>
    </row>
    <row r="440" spans="1:11" x14ac:dyDescent="0.4">
      <c r="A440" t="s">
        <v>9</v>
      </c>
      <c r="B440" t="s">
        <v>10</v>
      </c>
      <c r="C440" t="s">
        <v>11</v>
      </c>
      <c r="D440" t="s">
        <v>12</v>
      </c>
      <c r="E440" t="s">
        <v>272</v>
      </c>
      <c r="F440" t="s">
        <v>273</v>
      </c>
      <c r="G440" t="s">
        <v>16</v>
      </c>
      <c r="H440" t="s">
        <v>211</v>
      </c>
      <c r="I440" s="1">
        <v>1</v>
      </c>
      <c r="J440" s="1">
        <v>0</v>
      </c>
      <c r="K440" s="1">
        <f t="shared" si="6"/>
        <v>1</v>
      </c>
    </row>
    <row r="441" spans="1:11" x14ac:dyDescent="0.4">
      <c r="A441" t="s">
        <v>9</v>
      </c>
      <c r="B441" t="s">
        <v>10</v>
      </c>
      <c r="C441" t="s">
        <v>11</v>
      </c>
      <c r="D441" t="s">
        <v>12</v>
      </c>
      <c r="E441" t="s">
        <v>272</v>
      </c>
      <c r="F441" t="s">
        <v>273</v>
      </c>
      <c r="G441" t="s">
        <v>16</v>
      </c>
      <c r="H441" t="s">
        <v>39</v>
      </c>
      <c r="I441" s="1">
        <v>8</v>
      </c>
      <c r="J441" s="1">
        <v>0</v>
      </c>
      <c r="K441" s="1">
        <f t="shared" si="6"/>
        <v>8</v>
      </c>
    </row>
    <row r="442" spans="1:11" x14ac:dyDescent="0.4">
      <c r="A442" t="s">
        <v>9</v>
      </c>
      <c r="B442" t="s">
        <v>10</v>
      </c>
      <c r="C442" t="s">
        <v>11</v>
      </c>
      <c r="D442" t="s">
        <v>12</v>
      </c>
      <c r="E442" t="s">
        <v>272</v>
      </c>
      <c r="F442" t="s">
        <v>273</v>
      </c>
      <c r="G442" t="s">
        <v>16</v>
      </c>
      <c r="H442" t="s">
        <v>51</v>
      </c>
      <c r="I442" s="1">
        <v>17</v>
      </c>
      <c r="J442" s="1">
        <v>1</v>
      </c>
      <c r="K442" s="1">
        <f t="shared" si="6"/>
        <v>18</v>
      </c>
    </row>
    <row r="443" spans="1:11" x14ac:dyDescent="0.4">
      <c r="A443" t="s">
        <v>9</v>
      </c>
      <c r="B443" t="s">
        <v>10</v>
      </c>
      <c r="C443" t="s">
        <v>11</v>
      </c>
      <c r="D443" t="s">
        <v>12</v>
      </c>
      <c r="E443" t="s">
        <v>272</v>
      </c>
      <c r="F443" t="s">
        <v>273</v>
      </c>
      <c r="G443" t="s">
        <v>16</v>
      </c>
      <c r="H443" t="s">
        <v>28</v>
      </c>
      <c r="I443" s="1">
        <v>6</v>
      </c>
      <c r="J443" s="1">
        <v>1</v>
      </c>
      <c r="K443" s="1">
        <f t="shared" si="6"/>
        <v>7</v>
      </c>
    </row>
    <row r="444" spans="1:11" x14ac:dyDescent="0.4">
      <c r="A444" t="s">
        <v>9</v>
      </c>
      <c r="B444" t="s">
        <v>10</v>
      </c>
      <c r="C444" t="s">
        <v>11</v>
      </c>
      <c r="D444" t="s">
        <v>12</v>
      </c>
      <c r="E444" t="s">
        <v>272</v>
      </c>
      <c r="F444" t="s">
        <v>273</v>
      </c>
      <c r="G444" t="s">
        <v>16</v>
      </c>
      <c r="H444" t="s">
        <v>160</v>
      </c>
      <c r="I444" s="1">
        <v>26</v>
      </c>
      <c r="J444" s="1">
        <v>1</v>
      </c>
      <c r="K444" s="1">
        <f t="shared" si="6"/>
        <v>27</v>
      </c>
    </row>
    <row r="445" spans="1:11" x14ac:dyDescent="0.4">
      <c r="A445" t="s">
        <v>9</v>
      </c>
      <c r="B445" t="s">
        <v>10</v>
      </c>
      <c r="C445" t="s">
        <v>11</v>
      </c>
      <c r="D445" t="s">
        <v>12</v>
      </c>
      <c r="E445" t="s">
        <v>272</v>
      </c>
      <c r="F445" t="s">
        <v>273</v>
      </c>
      <c r="G445" t="s">
        <v>16</v>
      </c>
      <c r="H445" t="s">
        <v>31</v>
      </c>
      <c r="I445" s="1">
        <v>57</v>
      </c>
      <c r="J445" s="1">
        <v>4</v>
      </c>
      <c r="K445" s="1">
        <f t="shared" si="6"/>
        <v>61</v>
      </c>
    </row>
    <row r="446" spans="1:11" x14ac:dyDescent="0.4">
      <c r="A446" t="s">
        <v>9</v>
      </c>
      <c r="B446" t="s">
        <v>10</v>
      </c>
      <c r="C446" t="s">
        <v>11</v>
      </c>
      <c r="D446" t="s">
        <v>12</v>
      </c>
      <c r="E446" t="s">
        <v>272</v>
      </c>
      <c r="F446" t="s">
        <v>273</v>
      </c>
      <c r="G446" t="s">
        <v>16</v>
      </c>
      <c r="H446" t="s">
        <v>40</v>
      </c>
      <c r="I446" s="1">
        <v>6</v>
      </c>
      <c r="J446" s="1">
        <v>0</v>
      </c>
      <c r="K446" s="1">
        <f t="shared" si="6"/>
        <v>6</v>
      </c>
    </row>
    <row r="447" spans="1:11" x14ac:dyDescent="0.4">
      <c r="A447" t="s">
        <v>9</v>
      </c>
      <c r="B447" t="s">
        <v>10</v>
      </c>
      <c r="C447" t="s">
        <v>11</v>
      </c>
      <c r="D447" t="s">
        <v>12</v>
      </c>
      <c r="E447" t="s">
        <v>272</v>
      </c>
      <c r="F447" t="s">
        <v>273</v>
      </c>
      <c r="G447" t="s">
        <v>16</v>
      </c>
      <c r="H447" t="s">
        <v>18</v>
      </c>
      <c r="I447" s="1">
        <v>46</v>
      </c>
      <c r="J447" s="1">
        <v>4</v>
      </c>
      <c r="K447" s="1">
        <f t="shared" si="6"/>
        <v>50</v>
      </c>
    </row>
    <row r="448" spans="1:11" hidden="1" x14ac:dyDescent="0.4">
      <c r="A448" t="s">
        <v>9</v>
      </c>
      <c r="B448" t="s">
        <v>10</v>
      </c>
      <c r="C448" t="s">
        <v>11</v>
      </c>
      <c r="D448" t="s">
        <v>12</v>
      </c>
      <c r="E448" t="s">
        <v>272</v>
      </c>
      <c r="F448" t="s">
        <v>273</v>
      </c>
      <c r="G448" t="s">
        <v>16</v>
      </c>
      <c r="H448" t="s">
        <v>8</v>
      </c>
      <c r="I448" s="1">
        <v>687</v>
      </c>
      <c r="J448" s="1">
        <v>124</v>
      </c>
      <c r="K448" s="1">
        <f t="shared" si="6"/>
        <v>811</v>
      </c>
    </row>
    <row r="449" spans="1:11" x14ac:dyDescent="0.4">
      <c r="A449" t="s">
        <v>9</v>
      </c>
      <c r="B449" t="s">
        <v>10</v>
      </c>
      <c r="C449" t="s">
        <v>11</v>
      </c>
      <c r="D449" t="s">
        <v>12</v>
      </c>
      <c r="E449" t="s">
        <v>272</v>
      </c>
      <c r="F449" t="s">
        <v>273</v>
      </c>
      <c r="G449" t="s">
        <v>16</v>
      </c>
      <c r="H449" t="s">
        <v>23</v>
      </c>
      <c r="I449" s="1">
        <v>119</v>
      </c>
      <c r="J449" s="1">
        <v>6</v>
      </c>
      <c r="K449" s="1">
        <f t="shared" si="6"/>
        <v>125</v>
      </c>
    </row>
    <row r="450" spans="1:11" x14ac:dyDescent="0.4">
      <c r="A450" t="s">
        <v>9</v>
      </c>
      <c r="B450" t="s">
        <v>10</v>
      </c>
      <c r="C450" t="s">
        <v>11</v>
      </c>
      <c r="D450" t="s">
        <v>12</v>
      </c>
      <c r="E450" t="s">
        <v>274</v>
      </c>
      <c r="F450" t="s">
        <v>275</v>
      </c>
      <c r="G450" t="s">
        <v>16</v>
      </c>
      <c r="H450" t="s">
        <v>37</v>
      </c>
      <c r="I450" s="1">
        <v>4</v>
      </c>
      <c r="J450" s="1">
        <v>0</v>
      </c>
      <c r="K450" s="1">
        <f t="shared" si="6"/>
        <v>4</v>
      </c>
    </row>
    <row r="451" spans="1:11" x14ac:dyDescent="0.4">
      <c r="A451" t="s">
        <v>9</v>
      </c>
      <c r="B451" t="s">
        <v>10</v>
      </c>
      <c r="C451" t="s">
        <v>11</v>
      </c>
      <c r="D451" t="s">
        <v>12</v>
      </c>
      <c r="E451" t="s">
        <v>274</v>
      </c>
      <c r="F451" t="s">
        <v>275</v>
      </c>
      <c r="G451" t="s">
        <v>16</v>
      </c>
      <c r="H451" t="s">
        <v>34</v>
      </c>
      <c r="I451" s="1">
        <v>23</v>
      </c>
      <c r="J451" s="1">
        <v>3</v>
      </c>
      <c r="K451" s="1">
        <f t="shared" ref="K451:K514" si="7">SUM(I451,J451)</f>
        <v>26</v>
      </c>
    </row>
    <row r="452" spans="1:11" x14ac:dyDescent="0.4">
      <c r="A452" t="s">
        <v>9</v>
      </c>
      <c r="B452" t="s">
        <v>10</v>
      </c>
      <c r="C452" t="s">
        <v>11</v>
      </c>
      <c r="D452" t="s">
        <v>12</v>
      </c>
      <c r="E452" t="s">
        <v>274</v>
      </c>
      <c r="F452" t="s">
        <v>275</v>
      </c>
      <c r="G452" t="s">
        <v>16</v>
      </c>
      <c r="H452" t="s">
        <v>17</v>
      </c>
      <c r="I452" s="1">
        <v>8</v>
      </c>
      <c r="J452" s="1">
        <v>1</v>
      </c>
      <c r="K452" s="1">
        <f t="shared" si="7"/>
        <v>9</v>
      </c>
    </row>
    <row r="453" spans="1:11" x14ac:dyDescent="0.4">
      <c r="A453" t="s">
        <v>9</v>
      </c>
      <c r="B453" t="s">
        <v>10</v>
      </c>
      <c r="C453" t="s">
        <v>11</v>
      </c>
      <c r="D453" t="s">
        <v>12</v>
      </c>
      <c r="E453" t="s">
        <v>274</v>
      </c>
      <c r="F453" t="s">
        <v>275</v>
      </c>
      <c r="G453" t="s">
        <v>16</v>
      </c>
      <c r="H453" t="s">
        <v>15</v>
      </c>
      <c r="I453" s="1">
        <v>3</v>
      </c>
      <c r="J453" s="1">
        <v>2</v>
      </c>
      <c r="K453" s="1">
        <f t="shared" si="7"/>
        <v>5</v>
      </c>
    </row>
    <row r="454" spans="1:11" x14ac:dyDescent="0.4">
      <c r="A454" t="s">
        <v>9</v>
      </c>
      <c r="B454" t="s">
        <v>10</v>
      </c>
      <c r="C454" t="s">
        <v>11</v>
      </c>
      <c r="D454" t="s">
        <v>12</v>
      </c>
      <c r="E454" t="s">
        <v>274</v>
      </c>
      <c r="F454" t="s">
        <v>275</v>
      </c>
      <c r="G454" t="s">
        <v>16</v>
      </c>
      <c r="H454" t="s">
        <v>38</v>
      </c>
      <c r="I454" s="1">
        <v>10</v>
      </c>
      <c r="J454" s="1">
        <v>3</v>
      </c>
      <c r="K454" s="1">
        <f t="shared" si="7"/>
        <v>13</v>
      </c>
    </row>
    <row r="455" spans="1:11" x14ac:dyDescent="0.4">
      <c r="A455" t="s">
        <v>9</v>
      </c>
      <c r="B455" t="s">
        <v>10</v>
      </c>
      <c r="C455" t="s">
        <v>11</v>
      </c>
      <c r="D455" t="s">
        <v>12</v>
      </c>
      <c r="E455" t="s">
        <v>274</v>
      </c>
      <c r="F455" t="s">
        <v>275</v>
      </c>
      <c r="G455" t="s">
        <v>16</v>
      </c>
      <c r="H455" t="s">
        <v>28</v>
      </c>
      <c r="I455" s="1">
        <v>2</v>
      </c>
      <c r="J455" s="1">
        <v>0</v>
      </c>
      <c r="K455" s="1">
        <f t="shared" si="7"/>
        <v>2</v>
      </c>
    </row>
    <row r="456" spans="1:11" x14ac:dyDescent="0.4">
      <c r="A456" t="s">
        <v>9</v>
      </c>
      <c r="B456" t="s">
        <v>10</v>
      </c>
      <c r="C456" t="s">
        <v>11</v>
      </c>
      <c r="D456" t="s">
        <v>12</v>
      </c>
      <c r="E456" t="s">
        <v>274</v>
      </c>
      <c r="F456" t="s">
        <v>275</v>
      </c>
      <c r="G456" t="s">
        <v>16</v>
      </c>
      <c r="H456" t="s">
        <v>160</v>
      </c>
      <c r="I456" s="1">
        <v>1</v>
      </c>
      <c r="J456" s="1">
        <v>0</v>
      </c>
      <c r="K456" s="1">
        <f t="shared" si="7"/>
        <v>1</v>
      </c>
    </row>
    <row r="457" spans="1:11" x14ac:dyDescent="0.4">
      <c r="A457" t="s">
        <v>9</v>
      </c>
      <c r="B457" t="s">
        <v>10</v>
      </c>
      <c r="C457" t="s">
        <v>11</v>
      </c>
      <c r="D457" t="s">
        <v>12</v>
      </c>
      <c r="E457" t="s">
        <v>274</v>
      </c>
      <c r="F457" t="s">
        <v>275</v>
      </c>
      <c r="G457" t="s">
        <v>16</v>
      </c>
      <c r="H457" t="s">
        <v>31</v>
      </c>
      <c r="I457" s="1">
        <v>9</v>
      </c>
      <c r="J457" s="1">
        <v>0</v>
      </c>
      <c r="K457" s="1">
        <f t="shared" si="7"/>
        <v>9</v>
      </c>
    </row>
    <row r="458" spans="1:11" x14ac:dyDescent="0.4">
      <c r="A458" t="s">
        <v>9</v>
      </c>
      <c r="B458" t="s">
        <v>10</v>
      </c>
      <c r="C458" t="s">
        <v>11</v>
      </c>
      <c r="D458" t="s">
        <v>12</v>
      </c>
      <c r="E458" t="s">
        <v>274</v>
      </c>
      <c r="F458" t="s">
        <v>275</v>
      </c>
      <c r="G458" t="s">
        <v>16</v>
      </c>
      <c r="H458" t="s">
        <v>40</v>
      </c>
      <c r="I458" s="1">
        <v>1</v>
      </c>
      <c r="J458" s="1">
        <v>0</v>
      </c>
      <c r="K458" s="1">
        <f t="shared" si="7"/>
        <v>1</v>
      </c>
    </row>
    <row r="459" spans="1:11" x14ac:dyDescent="0.4">
      <c r="A459" t="s">
        <v>9</v>
      </c>
      <c r="B459" t="s">
        <v>10</v>
      </c>
      <c r="C459" t="s">
        <v>11</v>
      </c>
      <c r="D459" t="s">
        <v>12</v>
      </c>
      <c r="E459" t="s">
        <v>274</v>
      </c>
      <c r="F459" t="s">
        <v>275</v>
      </c>
      <c r="G459" t="s">
        <v>16</v>
      </c>
      <c r="H459" t="s">
        <v>18</v>
      </c>
      <c r="I459" s="1">
        <v>2</v>
      </c>
      <c r="J459" s="1">
        <v>1</v>
      </c>
      <c r="K459" s="1">
        <f t="shared" si="7"/>
        <v>3</v>
      </c>
    </row>
    <row r="460" spans="1:11" hidden="1" x14ac:dyDescent="0.4">
      <c r="A460" t="s">
        <v>9</v>
      </c>
      <c r="B460" t="s">
        <v>10</v>
      </c>
      <c r="C460" t="s">
        <v>11</v>
      </c>
      <c r="D460" t="s">
        <v>12</v>
      </c>
      <c r="E460" t="s">
        <v>274</v>
      </c>
      <c r="F460" t="s">
        <v>275</v>
      </c>
      <c r="G460" t="s">
        <v>16</v>
      </c>
      <c r="H460" t="s">
        <v>8</v>
      </c>
      <c r="I460" s="1">
        <v>99</v>
      </c>
      <c r="J460" s="1">
        <v>18</v>
      </c>
      <c r="K460" s="1">
        <f t="shared" si="7"/>
        <v>117</v>
      </c>
    </row>
    <row r="461" spans="1:11" x14ac:dyDescent="0.4">
      <c r="A461" t="s">
        <v>9</v>
      </c>
      <c r="B461" t="s">
        <v>10</v>
      </c>
      <c r="C461" t="s">
        <v>11</v>
      </c>
      <c r="D461" t="s">
        <v>12</v>
      </c>
      <c r="E461" t="s">
        <v>274</v>
      </c>
      <c r="F461" t="s">
        <v>275</v>
      </c>
      <c r="G461" t="s">
        <v>16</v>
      </c>
      <c r="H461" t="s">
        <v>23</v>
      </c>
      <c r="I461" s="1">
        <v>36</v>
      </c>
      <c r="J461" s="1">
        <v>8</v>
      </c>
      <c r="K461" s="1">
        <f t="shared" si="7"/>
        <v>44</v>
      </c>
    </row>
    <row r="462" spans="1:11" x14ac:dyDescent="0.4">
      <c r="A462" t="s">
        <v>9</v>
      </c>
      <c r="B462" t="s">
        <v>10</v>
      </c>
      <c r="C462" t="s">
        <v>11</v>
      </c>
      <c r="D462" t="s">
        <v>12</v>
      </c>
      <c r="E462" t="s">
        <v>276</v>
      </c>
      <c r="F462" t="s">
        <v>277</v>
      </c>
      <c r="G462" t="s">
        <v>16</v>
      </c>
      <c r="H462" t="s">
        <v>37</v>
      </c>
      <c r="I462" s="1">
        <v>19</v>
      </c>
      <c r="J462" s="1">
        <v>5</v>
      </c>
      <c r="K462" s="1">
        <f t="shared" si="7"/>
        <v>24</v>
      </c>
    </row>
    <row r="463" spans="1:11" x14ac:dyDescent="0.4">
      <c r="A463" t="s">
        <v>9</v>
      </c>
      <c r="B463" t="s">
        <v>10</v>
      </c>
      <c r="C463" t="s">
        <v>11</v>
      </c>
      <c r="D463" t="s">
        <v>12</v>
      </c>
      <c r="E463" t="s">
        <v>276</v>
      </c>
      <c r="F463" t="s">
        <v>277</v>
      </c>
      <c r="G463" t="s">
        <v>16</v>
      </c>
      <c r="H463" t="s">
        <v>34</v>
      </c>
      <c r="I463" s="1">
        <v>24</v>
      </c>
      <c r="J463" s="1">
        <v>0</v>
      </c>
      <c r="K463" s="1">
        <f t="shared" si="7"/>
        <v>24</v>
      </c>
    </row>
    <row r="464" spans="1:11" x14ac:dyDescent="0.4">
      <c r="A464" t="s">
        <v>9</v>
      </c>
      <c r="B464" t="s">
        <v>10</v>
      </c>
      <c r="C464" t="s">
        <v>11</v>
      </c>
      <c r="D464" t="s">
        <v>12</v>
      </c>
      <c r="E464" t="s">
        <v>276</v>
      </c>
      <c r="F464" t="s">
        <v>277</v>
      </c>
      <c r="G464" t="s">
        <v>16</v>
      </c>
      <c r="H464" t="s">
        <v>17</v>
      </c>
      <c r="I464" s="1">
        <v>64</v>
      </c>
      <c r="J464" s="1">
        <v>15</v>
      </c>
      <c r="K464" s="1">
        <f t="shared" si="7"/>
        <v>79</v>
      </c>
    </row>
    <row r="465" spans="1:11" x14ac:dyDescent="0.4">
      <c r="A465" t="s">
        <v>9</v>
      </c>
      <c r="B465" t="s">
        <v>10</v>
      </c>
      <c r="C465" t="s">
        <v>11</v>
      </c>
      <c r="D465" t="s">
        <v>12</v>
      </c>
      <c r="E465" t="s">
        <v>276</v>
      </c>
      <c r="F465" t="s">
        <v>277</v>
      </c>
      <c r="G465" t="s">
        <v>16</v>
      </c>
      <c r="H465" t="s">
        <v>15</v>
      </c>
      <c r="I465" s="1">
        <v>51</v>
      </c>
      <c r="J465" s="1">
        <v>21</v>
      </c>
      <c r="K465" s="1">
        <f t="shared" si="7"/>
        <v>72</v>
      </c>
    </row>
    <row r="466" spans="1:11" x14ac:dyDescent="0.4">
      <c r="A466" t="s">
        <v>9</v>
      </c>
      <c r="B466" t="s">
        <v>10</v>
      </c>
      <c r="C466" t="s">
        <v>11</v>
      </c>
      <c r="D466" t="s">
        <v>12</v>
      </c>
      <c r="E466" t="s">
        <v>276</v>
      </c>
      <c r="F466" t="s">
        <v>277</v>
      </c>
      <c r="G466" t="s">
        <v>16</v>
      </c>
      <c r="H466" t="s">
        <v>38</v>
      </c>
      <c r="I466" s="1">
        <v>132</v>
      </c>
      <c r="J466" s="1">
        <v>10</v>
      </c>
      <c r="K466" s="1">
        <f t="shared" si="7"/>
        <v>142</v>
      </c>
    </row>
    <row r="467" spans="1:11" x14ac:dyDescent="0.4">
      <c r="A467" t="s">
        <v>9</v>
      </c>
      <c r="B467" t="s">
        <v>10</v>
      </c>
      <c r="C467" t="s">
        <v>11</v>
      </c>
      <c r="D467" t="s">
        <v>12</v>
      </c>
      <c r="E467" t="s">
        <v>276</v>
      </c>
      <c r="F467" t="s">
        <v>277</v>
      </c>
      <c r="G467" t="s">
        <v>16</v>
      </c>
      <c r="H467" t="s">
        <v>39</v>
      </c>
      <c r="I467" s="1">
        <v>14</v>
      </c>
      <c r="J467" s="1">
        <v>2</v>
      </c>
      <c r="K467" s="1">
        <f t="shared" si="7"/>
        <v>16</v>
      </c>
    </row>
    <row r="468" spans="1:11" x14ac:dyDescent="0.4">
      <c r="A468" t="s">
        <v>9</v>
      </c>
      <c r="B468" t="s">
        <v>10</v>
      </c>
      <c r="C468" t="s">
        <v>11</v>
      </c>
      <c r="D468" t="s">
        <v>12</v>
      </c>
      <c r="E468" t="s">
        <v>276</v>
      </c>
      <c r="F468" t="s">
        <v>277</v>
      </c>
      <c r="G468" t="s">
        <v>16</v>
      </c>
      <c r="H468" t="s">
        <v>51</v>
      </c>
      <c r="I468" s="1">
        <v>8</v>
      </c>
      <c r="J468" s="1">
        <v>0</v>
      </c>
      <c r="K468" s="1">
        <f t="shared" si="7"/>
        <v>8</v>
      </c>
    </row>
    <row r="469" spans="1:11" x14ac:dyDescent="0.4">
      <c r="A469" t="s">
        <v>9</v>
      </c>
      <c r="B469" t="s">
        <v>10</v>
      </c>
      <c r="C469" t="s">
        <v>11</v>
      </c>
      <c r="D469" t="s">
        <v>12</v>
      </c>
      <c r="E469" t="s">
        <v>276</v>
      </c>
      <c r="F469" t="s">
        <v>277</v>
      </c>
      <c r="G469" t="s">
        <v>16</v>
      </c>
      <c r="H469" t="s">
        <v>28</v>
      </c>
      <c r="I469" s="1">
        <v>13</v>
      </c>
      <c r="J469" s="1">
        <v>0</v>
      </c>
      <c r="K469" s="1">
        <f t="shared" si="7"/>
        <v>13</v>
      </c>
    </row>
    <row r="470" spans="1:11" x14ac:dyDescent="0.4">
      <c r="A470" t="s">
        <v>9</v>
      </c>
      <c r="B470" t="s">
        <v>10</v>
      </c>
      <c r="C470" t="s">
        <v>11</v>
      </c>
      <c r="D470" t="s">
        <v>12</v>
      </c>
      <c r="E470" t="s">
        <v>276</v>
      </c>
      <c r="F470" t="s">
        <v>277</v>
      </c>
      <c r="G470" t="s">
        <v>16</v>
      </c>
      <c r="H470" t="s">
        <v>160</v>
      </c>
      <c r="I470" s="1">
        <v>11</v>
      </c>
      <c r="J470" s="1">
        <v>2</v>
      </c>
      <c r="K470" s="1">
        <f t="shared" si="7"/>
        <v>13</v>
      </c>
    </row>
    <row r="471" spans="1:11" x14ac:dyDescent="0.4">
      <c r="A471" t="s">
        <v>9</v>
      </c>
      <c r="B471" t="s">
        <v>10</v>
      </c>
      <c r="C471" t="s">
        <v>11</v>
      </c>
      <c r="D471" t="s">
        <v>12</v>
      </c>
      <c r="E471" t="s">
        <v>276</v>
      </c>
      <c r="F471" t="s">
        <v>277</v>
      </c>
      <c r="G471" t="s">
        <v>16</v>
      </c>
      <c r="H471" t="s">
        <v>31</v>
      </c>
      <c r="I471" s="1">
        <v>85</v>
      </c>
      <c r="J471" s="1">
        <v>5</v>
      </c>
      <c r="K471" s="1">
        <f t="shared" si="7"/>
        <v>90</v>
      </c>
    </row>
    <row r="472" spans="1:11" x14ac:dyDescent="0.4">
      <c r="A472" t="s">
        <v>9</v>
      </c>
      <c r="B472" t="s">
        <v>10</v>
      </c>
      <c r="C472" t="s">
        <v>11</v>
      </c>
      <c r="D472" t="s">
        <v>12</v>
      </c>
      <c r="E472" t="s">
        <v>276</v>
      </c>
      <c r="F472" t="s">
        <v>277</v>
      </c>
      <c r="G472" t="s">
        <v>16</v>
      </c>
      <c r="H472" t="s">
        <v>40</v>
      </c>
      <c r="I472" s="1">
        <v>1</v>
      </c>
      <c r="J472" s="1">
        <v>1</v>
      </c>
      <c r="K472" s="1">
        <f t="shared" si="7"/>
        <v>2</v>
      </c>
    </row>
    <row r="473" spans="1:11" x14ac:dyDescent="0.4">
      <c r="A473" t="s">
        <v>9</v>
      </c>
      <c r="B473" t="s">
        <v>10</v>
      </c>
      <c r="C473" t="s">
        <v>11</v>
      </c>
      <c r="D473" t="s">
        <v>12</v>
      </c>
      <c r="E473" t="s">
        <v>276</v>
      </c>
      <c r="F473" t="s">
        <v>277</v>
      </c>
      <c r="G473" t="s">
        <v>16</v>
      </c>
      <c r="H473" t="s">
        <v>18</v>
      </c>
      <c r="I473" s="1">
        <v>14</v>
      </c>
      <c r="J473" s="1">
        <v>2</v>
      </c>
      <c r="K473" s="1">
        <f t="shared" si="7"/>
        <v>16</v>
      </c>
    </row>
    <row r="474" spans="1:11" hidden="1" x14ac:dyDescent="0.4">
      <c r="A474" t="s">
        <v>9</v>
      </c>
      <c r="B474" t="s">
        <v>10</v>
      </c>
      <c r="C474" t="s">
        <v>11</v>
      </c>
      <c r="D474" t="s">
        <v>12</v>
      </c>
      <c r="E474" t="s">
        <v>276</v>
      </c>
      <c r="F474" t="s">
        <v>277</v>
      </c>
      <c r="G474" t="s">
        <v>16</v>
      </c>
      <c r="H474" t="s">
        <v>8</v>
      </c>
      <c r="I474" s="1">
        <v>750</v>
      </c>
      <c r="J474" s="1">
        <v>84</v>
      </c>
      <c r="K474" s="1">
        <f t="shared" si="7"/>
        <v>834</v>
      </c>
    </row>
    <row r="475" spans="1:11" x14ac:dyDescent="0.4">
      <c r="A475" t="s">
        <v>9</v>
      </c>
      <c r="B475" t="s">
        <v>10</v>
      </c>
      <c r="C475" t="s">
        <v>11</v>
      </c>
      <c r="D475" t="s">
        <v>12</v>
      </c>
      <c r="E475" t="s">
        <v>276</v>
      </c>
      <c r="F475" t="s">
        <v>277</v>
      </c>
      <c r="G475" t="s">
        <v>16</v>
      </c>
      <c r="H475" t="s">
        <v>23</v>
      </c>
      <c r="I475" s="1">
        <v>314</v>
      </c>
      <c r="J475" s="1">
        <v>21</v>
      </c>
      <c r="K475" s="1">
        <f t="shared" si="7"/>
        <v>335</v>
      </c>
    </row>
    <row r="476" spans="1:11" x14ac:dyDescent="0.4">
      <c r="A476" t="s">
        <v>9</v>
      </c>
      <c r="B476" t="s">
        <v>10</v>
      </c>
      <c r="C476" t="s">
        <v>11</v>
      </c>
      <c r="D476" t="s">
        <v>12</v>
      </c>
      <c r="E476" t="s">
        <v>278</v>
      </c>
      <c r="F476" t="s">
        <v>279</v>
      </c>
      <c r="G476" t="s">
        <v>16</v>
      </c>
      <c r="H476" t="s">
        <v>17</v>
      </c>
      <c r="I476" s="1">
        <v>1</v>
      </c>
      <c r="J476" s="1">
        <v>0</v>
      </c>
      <c r="K476" s="1">
        <f t="shared" si="7"/>
        <v>1</v>
      </c>
    </row>
    <row r="477" spans="1:11" hidden="1" x14ac:dyDescent="0.4">
      <c r="A477" t="s">
        <v>9</v>
      </c>
      <c r="B477" t="s">
        <v>10</v>
      </c>
      <c r="C477" t="s">
        <v>11</v>
      </c>
      <c r="D477" t="s">
        <v>12</v>
      </c>
      <c r="E477" t="s">
        <v>278</v>
      </c>
      <c r="F477" t="s">
        <v>279</v>
      </c>
      <c r="G477" t="s">
        <v>16</v>
      </c>
      <c r="H477" t="s">
        <v>8</v>
      </c>
      <c r="I477" s="1">
        <v>1</v>
      </c>
      <c r="J477" s="1">
        <v>0</v>
      </c>
      <c r="K477" s="1">
        <f t="shared" si="7"/>
        <v>1</v>
      </c>
    </row>
    <row r="478" spans="1:11" x14ac:dyDescent="0.4">
      <c r="A478" t="s">
        <v>9</v>
      </c>
      <c r="B478" t="s">
        <v>10</v>
      </c>
      <c r="C478" t="s">
        <v>11</v>
      </c>
      <c r="D478" t="s">
        <v>12</v>
      </c>
      <c r="E478" t="s">
        <v>280</v>
      </c>
      <c r="F478" t="s">
        <v>281</v>
      </c>
      <c r="G478" t="s">
        <v>16</v>
      </c>
      <c r="H478" t="s">
        <v>34</v>
      </c>
      <c r="I478" s="1">
        <v>1</v>
      </c>
      <c r="J478" s="1">
        <v>0</v>
      </c>
      <c r="K478" s="1">
        <f t="shared" si="7"/>
        <v>1</v>
      </c>
    </row>
    <row r="479" spans="1:11" hidden="1" x14ac:dyDescent="0.4">
      <c r="A479" t="s">
        <v>9</v>
      </c>
      <c r="B479" t="s">
        <v>10</v>
      </c>
      <c r="C479" t="s">
        <v>11</v>
      </c>
      <c r="D479" t="s">
        <v>12</v>
      </c>
      <c r="E479" t="s">
        <v>280</v>
      </c>
      <c r="F479" t="s">
        <v>281</v>
      </c>
      <c r="G479" t="s">
        <v>16</v>
      </c>
      <c r="H479" t="s">
        <v>8</v>
      </c>
      <c r="I479" s="1">
        <v>1</v>
      </c>
      <c r="J479" s="1">
        <v>0</v>
      </c>
      <c r="K479" s="1">
        <f t="shared" si="7"/>
        <v>1</v>
      </c>
    </row>
    <row r="480" spans="1:11" x14ac:dyDescent="0.4">
      <c r="A480" t="s">
        <v>9</v>
      </c>
      <c r="B480" t="s">
        <v>10</v>
      </c>
      <c r="C480" t="s">
        <v>11</v>
      </c>
      <c r="D480" t="s">
        <v>12</v>
      </c>
      <c r="E480" t="s">
        <v>282</v>
      </c>
      <c r="F480" t="s">
        <v>283</v>
      </c>
      <c r="G480" t="s">
        <v>16</v>
      </c>
      <c r="H480" t="s">
        <v>38</v>
      </c>
      <c r="I480" s="1">
        <v>1</v>
      </c>
      <c r="J480" s="1">
        <v>0</v>
      </c>
      <c r="K480" s="1">
        <f t="shared" si="7"/>
        <v>1</v>
      </c>
    </row>
    <row r="481" spans="1:11" hidden="1" x14ac:dyDescent="0.4">
      <c r="A481" t="s">
        <v>9</v>
      </c>
      <c r="B481" t="s">
        <v>10</v>
      </c>
      <c r="C481" t="s">
        <v>11</v>
      </c>
      <c r="D481" t="s">
        <v>12</v>
      </c>
      <c r="E481" t="s">
        <v>282</v>
      </c>
      <c r="F481" t="s">
        <v>283</v>
      </c>
      <c r="G481" t="s">
        <v>16</v>
      </c>
      <c r="H481" t="s">
        <v>8</v>
      </c>
      <c r="I481" s="1">
        <v>1</v>
      </c>
      <c r="J481" s="1">
        <v>0</v>
      </c>
      <c r="K481" s="1">
        <f t="shared" si="7"/>
        <v>1</v>
      </c>
    </row>
    <row r="482" spans="1:11" hidden="1" x14ac:dyDescent="0.4">
      <c r="A482" t="s">
        <v>9</v>
      </c>
      <c r="B482" t="s">
        <v>10</v>
      </c>
      <c r="C482" t="s">
        <v>11</v>
      </c>
      <c r="D482" t="s">
        <v>12</v>
      </c>
      <c r="E482" t="s">
        <v>284</v>
      </c>
      <c r="F482" t="s">
        <v>285</v>
      </c>
      <c r="G482" t="s">
        <v>16</v>
      </c>
      <c r="H482" t="s">
        <v>8</v>
      </c>
      <c r="I482" s="1">
        <v>1</v>
      </c>
      <c r="J482" s="1">
        <v>0</v>
      </c>
      <c r="K482" s="1">
        <f t="shared" si="7"/>
        <v>1</v>
      </c>
    </row>
    <row r="483" spans="1:11" x14ac:dyDescent="0.4">
      <c r="A483" t="s">
        <v>9</v>
      </c>
      <c r="B483" t="s">
        <v>10</v>
      </c>
      <c r="C483" t="s">
        <v>11</v>
      </c>
      <c r="D483" t="s">
        <v>12</v>
      </c>
      <c r="E483" t="s">
        <v>284</v>
      </c>
      <c r="F483" t="s">
        <v>285</v>
      </c>
      <c r="G483" t="s">
        <v>16</v>
      </c>
      <c r="H483" t="s">
        <v>23</v>
      </c>
      <c r="I483" s="1">
        <v>1</v>
      </c>
      <c r="J483" s="1">
        <v>0</v>
      </c>
      <c r="K483" s="1">
        <f t="shared" si="7"/>
        <v>1</v>
      </c>
    </row>
    <row r="484" spans="1:11" x14ac:dyDescent="0.4">
      <c r="A484" t="s">
        <v>9</v>
      </c>
      <c r="B484" t="s">
        <v>10</v>
      </c>
      <c r="C484" t="s">
        <v>11</v>
      </c>
      <c r="D484" t="s">
        <v>12</v>
      </c>
      <c r="E484" t="s">
        <v>286</v>
      </c>
      <c r="F484" t="s">
        <v>287</v>
      </c>
      <c r="G484" t="s">
        <v>16</v>
      </c>
      <c r="H484" t="s">
        <v>15</v>
      </c>
      <c r="I484" s="1">
        <v>0</v>
      </c>
      <c r="J484" s="1">
        <v>1</v>
      </c>
      <c r="K484" s="1">
        <f t="shared" si="7"/>
        <v>1</v>
      </c>
    </row>
    <row r="485" spans="1:11" hidden="1" x14ac:dyDescent="0.4">
      <c r="A485" t="s">
        <v>9</v>
      </c>
      <c r="B485" t="s">
        <v>10</v>
      </c>
      <c r="C485" t="s">
        <v>11</v>
      </c>
      <c r="D485" t="s">
        <v>12</v>
      </c>
      <c r="E485" t="s">
        <v>286</v>
      </c>
      <c r="F485" t="s">
        <v>287</v>
      </c>
      <c r="G485" t="s">
        <v>16</v>
      </c>
      <c r="H485" t="s">
        <v>8</v>
      </c>
      <c r="I485" s="1">
        <v>0</v>
      </c>
      <c r="J485" s="1">
        <v>1</v>
      </c>
      <c r="K485" s="1">
        <f t="shared" si="7"/>
        <v>1</v>
      </c>
    </row>
    <row r="486" spans="1:11" x14ac:dyDescent="0.4">
      <c r="A486" t="s">
        <v>9</v>
      </c>
      <c r="B486" t="s">
        <v>10</v>
      </c>
      <c r="C486" t="s">
        <v>11</v>
      </c>
      <c r="D486" t="s">
        <v>12</v>
      </c>
      <c r="E486" t="s">
        <v>288</v>
      </c>
      <c r="F486" t="s">
        <v>289</v>
      </c>
      <c r="G486" t="s">
        <v>16</v>
      </c>
      <c r="H486" t="s">
        <v>34</v>
      </c>
      <c r="I486" s="1">
        <v>1</v>
      </c>
      <c r="J486" s="1">
        <v>0</v>
      </c>
      <c r="K486" s="1">
        <f t="shared" si="7"/>
        <v>1</v>
      </c>
    </row>
    <row r="487" spans="1:11" hidden="1" x14ac:dyDescent="0.4">
      <c r="A487" t="s">
        <v>9</v>
      </c>
      <c r="B487" t="s">
        <v>10</v>
      </c>
      <c r="C487" t="s">
        <v>11</v>
      </c>
      <c r="D487" t="s">
        <v>12</v>
      </c>
      <c r="E487" t="s">
        <v>288</v>
      </c>
      <c r="F487" t="s">
        <v>289</v>
      </c>
      <c r="G487" t="s">
        <v>16</v>
      </c>
      <c r="H487" t="s">
        <v>8</v>
      </c>
      <c r="I487" s="1">
        <v>1</v>
      </c>
      <c r="J487" s="1">
        <v>0</v>
      </c>
      <c r="K487" s="1">
        <f t="shared" si="7"/>
        <v>1</v>
      </c>
    </row>
    <row r="488" spans="1:11" x14ac:dyDescent="0.4">
      <c r="A488" t="s">
        <v>9</v>
      </c>
      <c r="B488" t="s">
        <v>10</v>
      </c>
      <c r="C488" t="s">
        <v>11</v>
      </c>
      <c r="D488" t="s">
        <v>12</v>
      </c>
      <c r="E488" t="s">
        <v>290</v>
      </c>
      <c r="F488" t="s">
        <v>291</v>
      </c>
      <c r="G488" t="s">
        <v>16</v>
      </c>
      <c r="H488" t="s">
        <v>15</v>
      </c>
      <c r="I488" s="1">
        <v>0</v>
      </c>
      <c r="J488" s="1">
        <v>1</v>
      </c>
      <c r="K488" s="1">
        <f t="shared" si="7"/>
        <v>1</v>
      </c>
    </row>
    <row r="489" spans="1:11" hidden="1" x14ac:dyDescent="0.4">
      <c r="A489" t="s">
        <v>9</v>
      </c>
      <c r="B489" t="s">
        <v>10</v>
      </c>
      <c r="C489" t="s">
        <v>11</v>
      </c>
      <c r="D489" t="s">
        <v>12</v>
      </c>
      <c r="E489" t="s">
        <v>290</v>
      </c>
      <c r="F489" t="s">
        <v>291</v>
      </c>
      <c r="G489" t="s">
        <v>16</v>
      </c>
      <c r="H489" t="s">
        <v>8</v>
      </c>
      <c r="I489" s="1">
        <v>1</v>
      </c>
      <c r="J489" s="1">
        <v>1</v>
      </c>
      <c r="K489" s="1">
        <f t="shared" si="7"/>
        <v>2</v>
      </c>
    </row>
    <row r="490" spans="1:11" x14ac:dyDescent="0.4">
      <c r="A490" t="s">
        <v>9</v>
      </c>
      <c r="B490" t="s">
        <v>10</v>
      </c>
      <c r="C490" t="s">
        <v>11</v>
      </c>
      <c r="D490" t="s">
        <v>12</v>
      </c>
      <c r="E490" t="s">
        <v>290</v>
      </c>
      <c r="F490" t="s">
        <v>291</v>
      </c>
      <c r="G490" t="s">
        <v>16</v>
      </c>
      <c r="H490" t="s">
        <v>23</v>
      </c>
      <c r="I490" s="1">
        <v>1</v>
      </c>
      <c r="J490" s="1">
        <v>0</v>
      </c>
      <c r="K490" s="1">
        <f t="shared" si="7"/>
        <v>1</v>
      </c>
    </row>
    <row r="491" spans="1:11" x14ac:dyDescent="0.4">
      <c r="A491" t="s">
        <v>9</v>
      </c>
      <c r="B491" t="s">
        <v>10</v>
      </c>
      <c r="C491" t="s">
        <v>11</v>
      </c>
      <c r="D491" t="s">
        <v>12</v>
      </c>
      <c r="E491" t="s">
        <v>292</v>
      </c>
      <c r="F491" t="s">
        <v>293</v>
      </c>
      <c r="G491" t="s">
        <v>16</v>
      </c>
      <c r="H491" t="s">
        <v>37</v>
      </c>
      <c r="I491" s="1">
        <v>10</v>
      </c>
      <c r="J491" s="1">
        <v>3</v>
      </c>
      <c r="K491" s="1">
        <f t="shared" si="7"/>
        <v>13</v>
      </c>
    </row>
    <row r="492" spans="1:11" x14ac:dyDescent="0.4">
      <c r="A492" t="s">
        <v>9</v>
      </c>
      <c r="B492" t="s">
        <v>10</v>
      </c>
      <c r="C492" t="s">
        <v>11</v>
      </c>
      <c r="D492" t="s">
        <v>12</v>
      </c>
      <c r="E492" t="s">
        <v>292</v>
      </c>
      <c r="F492" t="s">
        <v>293</v>
      </c>
      <c r="G492" t="s">
        <v>16</v>
      </c>
      <c r="H492" t="s">
        <v>34</v>
      </c>
      <c r="I492" s="1">
        <v>14</v>
      </c>
      <c r="J492" s="1">
        <v>0</v>
      </c>
      <c r="K492" s="1">
        <f t="shared" si="7"/>
        <v>14</v>
      </c>
    </row>
    <row r="493" spans="1:11" x14ac:dyDescent="0.4">
      <c r="A493" t="s">
        <v>9</v>
      </c>
      <c r="B493" t="s">
        <v>10</v>
      </c>
      <c r="C493" t="s">
        <v>11</v>
      </c>
      <c r="D493" t="s">
        <v>12</v>
      </c>
      <c r="E493" t="s">
        <v>292</v>
      </c>
      <c r="F493" t="s">
        <v>293</v>
      </c>
      <c r="G493" t="s">
        <v>16</v>
      </c>
      <c r="H493" t="s">
        <v>17</v>
      </c>
      <c r="I493" s="1">
        <v>45</v>
      </c>
      <c r="J493" s="1">
        <v>19</v>
      </c>
      <c r="K493" s="1">
        <f t="shared" si="7"/>
        <v>64</v>
      </c>
    </row>
    <row r="494" spans="1:11" x14ac:dyDescent="0.4">
      <c r="A494" t="s">
        <v>9</v>
      </c>
      <c r="B494" t="s">
        <v>10</v>
      </c>
      <c r="C494" t="s">
        <v>11</v>
      </c>
      <c r="D494" t="s">
        <v>12</v>
      </c>
      <c r="E494" t="s">
        <v>292</v>
      </c>
      <c r="F494" t="s">
        <v>293</v>
      </c>
      <c r="G494" t="s">
        <v>16</v>
      </c>
      <c r="H494" t="s">
        <v>15</v>
      </c>
      <c r="I494" s="1">
        <v>9</v>
      </c>
      <c r="J494" s="1">
        <v>5</v>
      </c>
      <c r="K494" s="1">
        <f t="shared" si="7"/>
        <v>14</v>
      </c>
    </row>
    <row r="495" spans="1:11" x14ac:dyDescent="0.4">
      <c r="A495" t="s">
        <v>9</v>
      </c>
      <c r="B495" t="s">
        <v>10</v>
      </c>
      <c r="C495" t="s">
        <v>11</v>
      </c>
      <c r="D495" t="s">
        <v>12</v>
      </c>
      <c r="E495" t="s">
        <v>292</v>
      </c>
      <c r="F495" t="s">
        <v>293</v>
      </c>
      <c r="G495" t="s">
        <v>16</v>
      </c>
      <c r="H495" t="s">
        <v>38</v>
      </c>
      <c r="I495" s="1">
        <v>6</v>
      </c>
      <c r="J495" s="1">
        <v>0</v>
      </c>
      <c r="K495" s="1">
        <f t="shared" si="7"/>
        <v>6</v>
      </c>
    </row>
    <row r="496" spans="1:11" x14ac:dyDescent="0.4">
      <c r="A496" t="s">
        <v>9</v>
      </c>
      <c r="B496" t="s">
        <v>10</v>
      </c>
      <c r="C496" t="s">
        <v>11</v>
      </c>
      <c r="D496" t="s">
        <v>12</v>
      </c>
      <c r="E496" t="s">
        <v>292</v>
      </c>
      <c r="F496" t="s">
        <v>293</v>
      </c>
      <c r="G496" t="s">
        <v>16</v>
      </c>
      <c r="H496" t="s">
        <v>209</v>
      </c>
      <c r="I496" s="1">
        <v>1</v>
      </c>
      <c r="J496" s="1">
        <v>0</v>
      </c>
      <c r="K496" s="1">
        <f t="shared" si="7"/>
        <v>1</v>
      </c>
    </row>
    <row r="497" spans="1:11" x14ac:dyDescent="0.4">
      <c r="A497" t="s">
        <v>9</v>
      </c>
      <c r="B497" t="s">
        <v>10</v>
      </c>
      <c r="C497" t="s">
        <v>11</v>
      </c>
      <c r="D497" t="s">
        <v>12</v>
      </c>
      <c r="E497" t="s">
        <v>292</v>
      </c>
      <c r="F497" t="s">
        <v>293</v>
      </c>
      <c r="G497" t="s">
        <v>16</v>
      </c>
      <c r="H497" t="s">
        <v>39</v>
      </c>
      <c r="I497" s="1">
        <v>2</v>
      </c>
      <c r="J497" s="1">
        <v>0</v>
      </c>
      <c r="K497" s="1">
        <f t="shared" si="7"/>
        <v>2</v>
      </c>
    </row>
    <row r="498" spans="1:11" x14ac:dyDescent="0.4">
      <c r="A498" t="s">
        <v>9</v>
      </c>
      <c r="B498" t="s">
        <v>10</v>
      </c>
      <c r="C498" t="s">
        <v>11</v>
      </c>
      <c r="D498" t="s">
        <v>12</v>
      </c>
      <c r="E498" t="s">
        <v>292</v>
      </c>
      <c r="F498" t="s">
        <v>293</v>
      </c>
      <c r="G498" t="s">
        <v>16</v>
      </c>
      <c r="H498" t="s">
        <v>51</v>
      </c>
      <c r="I498" s="1">
        <v>2</v>
      </c>
      <c r="J498" s="1">
        <v>0</v>
      </c>
      <c r="K498" s="1">
        <f t="shared" si="7"/>
        <v>2</v>
      </c>
    </row>
    <row r="499" spans="1:11" x14ac:dyDescent="0.4">
      <c r="A499" t="s">
        <v>9</v>
      </c>
      <c r="B499" t="s">
        <v>10</v>
      </c>
      <c r="C499" t="s">
        <v>11</v>
      </c>
      <c r="D499" t="s">
        <v>12</v>
      </c>
      <c r="E499" t="s">
        <v>292</v>
      </c>
      <c r="F499" t="s">
        <v>293</v>
      </c>
      <c r="G499" t="s">
        <v>16</v>
      </c>
      <c r="H499" t="s">
        <v>28</v>
      </c>
      <c r="I499" s="1">
        <v>4</v>
      </c>
      <c r="J499" s="1">
        <v>0</v>
      </c>
      <c r="K499" s="1">
        <f t="shared" si="7"/>
        <v>4</v>
      </c>
    </row>
    <row r="500" spans="1:11" x14ac:dyDescent="0.4">
      <c r="A500" t="s">
        <v>9</v>
      </c>
      <c r="B500" t="s">
        <v>10</v>
      </c>
      <c r="C500" t="s">
        <v>11</v>
      </c>
      <c r="D500" t="s">
        <v>12</v>
      </c>
      <c r="E500" t="s">
        <v>292</v>
      </c>
      <c r="F500" t="s">
        <v>293</v>
      </c>
      <c r="G500" t="s">
        <v>16</v>
      </c>
      <c r="H500" t="s">
        <v>160</v>
      </c>
      <c r="I500" s="1">
        <v>4</v>
      </c>
      <c r="J500" s="1">
        <v>0</v>
      </c>
      <c r="K500" s="1">
        <f t="shared" si="7"/>
        <v>4</v>
      </c>
    </row>
    <row r="501" spans="1:11" x14ac:dyDescent="0.4">
      <c r="A501" t="s">
        <v>9</v>
      </c>
      <c r="B501" t="s">
        <v>10</v>
      </c>
      <c r="C501" t="s">
        <v>11</v>
      </c>
      <c r="D501" t="s">
        <v>12</v>
      </c>
      <c r="E501" t="s">
        <v>292</v>
      </c>
      <c r="F501" t="s">
        <v>293</v>
      </c>
      <c r="G501" t="s">
        <v>16</v>
      </c>
      <c r="H501" t="s">
        <v>31</v>
      </c>
      <c r="I501" s="1">
        <v>15</v>
      </c>
      <c r="J501" s="1">
        <v>0</v>
      </c>
      <c r="K501" s="1">
        <f t="shared" si="7"/>
        <v>15</v>
      </c>
    </row>
    <row r="502" spans="1:11" x14ac:dyDescent="0.4">
      <c r="A502" t="s">
        <v>9</v>
      </c>
      <c r="B502" t="s">
        <v>10</v>
      </c>
      <c r="C502" t="s">
        <v>11</v>
      </c>
      <c r="D502" t="s">
        <v>12</v>
      </c>
      <c r="E502" t="s">
        <v>292</v>
      </c>
      <c r="F502" t="s">
        <v>293</v>
      </c>
      <c r="G502" t="s">
        <v>16</v>
      </c>
      <c r="H502" t="s">
        <v>40</v>
      </c>
      <c r="I502" s="1">
        <v>2</v>
      </c>
      <c r="J502" s="1">
        <v>1</v>
      </c>
      <c r="K502" s="1">
        <f t="shared" si="7"/>
        <v>3</v>
      </c>
    </row>
    <row r="503" spans="1:11" x14ac:dyDescent="0.4">
      <c r="A503" t="s">
        <v>9</v>
      </c>
      <c r="B503" t="s">
        <v>10</v>
      </c>
      <c r="C503" t="s">
        <v>11</v>
      </c>
      <c r="D503" t="s">
        <v>12</v>
      </c>
      <c r="E503" t="s">
        <v>292</v>
      </c>
      <c r="F503" t="s">
        <v>293</v>
      </c>
      <c r="G503" t="s">
        <v>16</v>
      </c>
      <c r="H503" t="s">
        <v>18</v>
      </c>
      <c r="I503" s="1">
        <v>11</v>
      </c>
      <c r="J503" s="1">
        <v>1</v>
      </c>
      <c r="K503" s="1">
        <f t="shared" si="7"/>
        <v>12</v>
      </c>
    </row>
    <row r="504" spans="1:11" hidden="1" x14ac:dyDescent="0.4">
      <c r="A504" t="s">
        <v>9</v>
      </c>
      <c r="B504" t="s">
        <v>10</v>
      </c>
      <c r="C504" t="s">
        <v>11</v>
      </c>
      <c r="D504" t="s">
        <v>12</v>
      </c>
      <c r="E504" t="s">
        <v>292</v>
      </c>
      <c r="F504" t="s">
        <v>293</v>
      </c>
      <c r="G504" t="s">
        <v>16</v>
      </c>
      <c r="H504" t="s">
        <v>8</v>
      </c>
      <c r="I504" s="1">
        <v>145</v>
      </c>
      <c r="J504" s="1">
        <v>30</v>
      </c>
      <c r="K504" s="1">
        <f t="shared" si="7"/>
        <v>175</v>
      </c>
    </row>
    <row r="505" spans="1:11" x14ac:dyDescent="0.4">
      <c r="A505" t="s">
        <v>9</v>
      </c>
      <c r="B505" t="s">
        <v>10</v>
      </c>
      <c r="C505" t="s">
        <v>11</v>
      </c>
      <c r="D505" t="s">
        <v>12</v>
      </c>
      <c r="E505" t="s">
        <v>292</v>
      </c>
      <c r="F505" t="s">
        <v>293</v>
      </c>
      <c r="G505" t="s">
        <v>16</v>
      </c>
      <c r="H505" t="s">
        <v>23</v>
      </c>
      <c r="I505" s="1">
        <v>20</v>
      </c>
      <c r="J505" s="1">
        <v>1</v>
      </c>
      <c r="K505" s="1">
        <f t="shared" si="7"/>
        <v>21</v>
      </c>
    </row>
    <row r="506" spans="1:11" x14ac:dyDescent="0.4">
      <c r="A506" t="s">
        <v>9</v>
      </c>
      <c r="B506" t="s">
        <v>10</v>
      </c>
      <c r="C506" t="s">
        <v>11</v>
      </c>
      <c r="D506" t="s">
        <v>12</v>
      </c>
      <c r="E506" t="s">
        <v>294</v>
      </c>
      <c r="F506" t="s">
        <v>295</v>
      </c>
      <c r="G506" t="s">
        <v>16</v>
      </c>
      <c r="H506" t="s">
        <v>34</v>
      </c>
      <c r="I506" s="1">
        <v>5</v>
      </c>
      <c r="J506" s="1">
        <v>0</v>
      </c>
      <c r="K506" s="1">
        <f t="shared" si="7"/>
        <v>5</v>
      </c>
    </row>
    <row r="507" spans="1:11" x14ac:dyDescent="0.4">
      <c r="A507" t="s">
        <v>9</v>
      </c>
      <c r="B507" t="s">
        <v>10</v>
      </c>
      <c r="C507" t="s">
        <v>11</v>
      </c>
      <c r="D507" t="s">
        <v>12</v>
      </c>
      <c r="E507" t="s">
        <v>294</v>
      </c>
      <c r="F507" t="s">
        <v>295</v>
      </c>
      <c r="G507" t="s">
        <v>16</v>
      </c>
      <c r="H507" t="s">
        <v>17</v>
      </c>
      <c r="I507" s="1">
        <v>9</v>
      </c>
      <c r="J507" s="1">
        <v>2</v>
      </c>
      <c r="K507" s="1">
        <f t="shared" si="7"/>
        <v>11</v>
      </c>
    </row>
    <row r="508" spans="1:11" x14ac:dyDescent="0.4">
      <c r="A508" t="s">
        <v>9</v>
      </c>
      <c r="B508" t="s">
        <v>10</v>
      </c>
      <c r="C508" t="s">
        <v>11</v>
      </c>
      <c r="D508" t="s">
        <v>12</v>
      </c>
      <c r="E508" t="s">
        <v>294</v>
      </c>
      <c r="F508" t="s">
        <v>295</v>
      </c>
      <c r="G508" t="s">
        <v>16</v>
      </c>
      <c r="H508" t="s">
        <v>38</v>
      </c>
      <c r="I508" s="1">
        <v>4</v>
      </c>
      <c r="J508" s="1">
        <v>1</v>
      </c>
      <c r="K508" s="1">
        <f t="shared" si="7"/>
        <v>5</v>
      </c>
    </row>
    <row r="509" spans="1:11" x14ac:dyDescent="0.4">
      <c r="A509" t="s">
        <v>9</v>
      </c>
      <c r="B509" t="s">
        <v>10</v>
      </c>
      <c r="C509" t="s">
        <v>11</v>
      </c>
      <c r="D509" t="s">
        <v>12</v>
      </c>
      <c r="E509" t="s">
        <v>294</v>
      </c>
      <c r="F509" t="s">
        <v>295</v>
      </c>
      <c r="G509" t="s">
        <v>16</v>
      </c>
      <c r="H509" t="s">
        <v>39</v>
      </c>
      <c r="I509" s="1">
        <v>2</v>
      </c>
      <c r="J509" s="1">
        <v>0</v>
      </c>
      <c r="K509" s="1">
        <f t="shared" si="7"/>
        <v>2</v>
      </c>
    </row>
    <row r="510" spans="1:11" x14ac:dyDescent="0.4">
      <c r="A510" t="s">
        <v>9</v>
      </c>
      <c r="B510" t="s">
        <v>10</v>
      </c>
      <c r="C510" t="s">
        <v>11</v>
      </c>
      <c r="D510" t="s">
        <v>12</v>
      </c>
      <c r="E510" t="s">
        <v>294</v>
      </c>
      <c r="F510" t="s">
        <v>295</v>
      </c>
      <c r="G510" t="s">
        <v>16</v>
      </c>
      <c r="H510" t="s">
        <v>51</v>
      </c>
      <c r="I510" s="1">
        <v>3</v>
      </c>
      <c r="J510" s="1">
        <v>1</v>
      </c>
      <c r="K510" s="1">
        <f t="shared" si="7"/>
        <v>4</v>
      </c>
    </row>
    <row r="511" spans="1:11" x14ac:dyDescent="0.4">
      <c r="A511" t="s">
        <v>9</v>
      </c>
      <c r="B511" t="s">
        <v>10</v>
      </c>
      <c r="C511" t="s">
        <v>11</v>
      </c>
      <c r="D511" t="s">
        <v>12</v>
      </c>
      <c r="E511" t="s">
        <v>294</v>
      </c>
      <c r="F511" t="s">
        <v>295</v>
      </c>
      <c r="G511" t="s">
        <v>16</v>
      </c>
      <c r="H511" t="s">
        <v>28</v>
      </c>
      <c r="I511" s="1">
        <v>4</v>
      </c>
      <c r="J511" s="1">
        <v>0</v>
      </c>
      <c r="K511" s="1">
        <f t="shared" si="7"/>
        <v>4</v>
      </c>
    </row>
    <row r="512" spans="1:11" x14ac:dyDescent="0.4">
      <c r="A512" t="s">
        <v>9</v>
      </c>
      <c r="B512" t="s">
        <v>10</v>
      </c>
      <c r="C512" t="s">
        <v>11</v>
      </c>
      <c r="D512" t="s">
        <v>12</v>
      </c>
      <c r="E512" t="s">
        <v>294</v>
      </c>
      <c r="F512" t="s">
        <v>295</v>
      </c>
      <c r="G512" t="s">
        <v>16</v>
      </c>
      <c r="H512" t="s">
        <v>31</v>
      </c>
      <c r="I512" s="1">
        <v>7</v>
      </c>
      <c r="J512" s="1">
        <v>0</v>
      </c>
      <c r="K512" s="1">
        <f t="shared" si="7"/>
        <v>7</v>
      </c>
    </row>
    <row r="513" spans="1:11" x14ac:dyDescent="0.4">
      <c r="A513" t="s">
        <v>9</v>
      </c>
      <c r="B513" t="s">
        <v>10</v>
      </c>
      <c r="C513" t="s">
        <v>11</v>
      </c>
      <c r="D513" t="s">
        <v>12</v>
      </c>
      <c r="E513" t="s">
        <v>294</v>
      </c>
      <c r="F513" t="s">
        <v>295</v>
      </c>
      <c r="G513" t="s">
        <v>16</v>
      </c>
      <c r="H513" t="s">
        <v>40</v>
      </c>
      <c r="I513" s="1">
        <v>1</v>
      </c>
      <c r="J513" s="1">
        <v>0</v>
      </c>
      <c r="K513" s="1">
        <f t="shared" si="7"/>
        <v>1</v>
      </c>
    </row>
    <row r="514" spans="1:11" x14ac:dyDescent="0.4">
      <c r="A514" t="s">
        <v>9</v>
      </c>
      <c r="B514" t="s">
        <v>10</v>
      </c>
      <c r="C514" t="s">
        <v>11</v>
      </c>
      <c r="D514" t="s">
        <v>12</v>
      </c>
      <c r="E514" t="s">
        <v>294</v>
      </c>
      <c r="F514" t="s">
        <v>295</v>
      </c>
      <c r="G514" t="s">
        <v>16</v>
      </c>
      <c r="H514" t="s">
        <v>18</v>
      </c>
      <c r="I514" s="1">
        <v>7</v>
      </c>
      <c r="J514" s="1">
        <v>1</v>
      </c>
      <c r="K514" s="1">
        <f t="shared" si="7"/>
        <v>8</v>
      </c>
    </row>
    <row r="515" spans="1:11" hidden="1" x14ac:dyDescent="0.4">
      <c r="A515" t="s">
        <v>9</v>
      </c>
      <c r="B515" t="s">
        <v>10</v>
      </c>
      <c r="C515" t="s">
        <v>11</v>
      </c>
      <c r="D515" t="s">
        <v>12</v>
      </c>
      <c r="E515" t="s">
        <v>294</v>
      </c>
      <c r="F515" t="s">
        <v>295</v>
      </c>
      <c r="G515" t="s">
        <v>16</v>
      </c>
      <c r="H515" t="s">
        <v>8</v>
      </c>
      <c r="I515" s="1">
        <v>59</v>
      </c>
      <c r="J515" s="1">
        <v>8</v>
      </c>
      <c r="K515" s="1">
        <f t="shared" ref="K515:K516" si="8">SUM(I515,J515)</f>
        <v>67</v>
      </c>
    </row>
    <row r="516" spans="1:11" x14ac:dyDescent="0.4">
      <c r="A516" t="s">
        <v>9</v>
      </c>
      <c r="B516" t="s">
        <v>10</v>
      </c>
      <c r="C516" t="s">
        <v>11</v>
      </c>
      <c r="D516" t="s">
        <v>12</v>
      </c>
      <c r="E516" t="s">
        <v>294</v>
      </c>
      <c r="F516" t="s">
        <v>295</v>
      </c>
      <c r="G516" t="s">
        <v>16</v>
      </c>
      <c r="H516" t="s">
        <v>23</v>
      </c>
      <c r="I516" s="1">
        <v>17</v>
      </c>
      <c r="J516" s="1">
        <v>3</v>
      </c>
      <c r="K516" s="1">
        <f t="shared" si="8"/>
        <v>20</v>
      </c>
    </row>
    <row r="518" spans="1:11" x14ac:dyDescent="0.4">
      <c r="H518" t="s">
        <v>302</v>
      </c>
      <c r="I518" s="1">
        <f>SUM(I1:I516)</f>
        <v>52006</v>
      </c>
      <c r="J518" s="1">
        <f t="shared" ref="J518:K518" si="9">SUM(J1:J516)</f>
        <v>7356</v>
      </c>
      <c r="K518" s="1">
        <f t="shared" si="9"/>
        <v>59362</v>
      </c>
    </row>
    <row r="519" spans="1:11" x14ac:dyDescent="0.4">
      <c r="H519" t="s">
        <v>303</v>
      </c>
      <c r="I519" s="1">
        <f>SUBTOTAL(109,I4:I515)</f>
        <v>25985</v>
      </c>
      <c r="J519" s="1">
        <f t="shared" ref="J519:K519" si="10">SUBTOTAL(9,J4:J515)</f>
        <v>3674</v>
      </c>
      <c r="K519" s="1">
        <f t="shared" si="10"/>
        <v>29659</v>
      </c>
    </row>
    <row r="520" spans="1:11" x14ac:dyDescent="0.4">
      <c r="H520" t="s">
        <v>304</v>
      </c>
      <c r="I520" s="1">
        <f>SUBTOTAL(109,I2:I516)</f>
        <v>26003</v>
      </c>
      <c r="J520" s="1">
        <f t="shared" ref="J520:K520" si="11">SUBTOTAL(9,J2:J516)</f>
        <v>3678</v>
      </c>
      <c r="K520" s="1">
        <f t="shared" si="11"/>
        <v>29681</v>
      </c>
    </row>
    <row r="522" spans="1:11" x14ac:dyDescent="0.4">
      <c r="I522" s="1">
        <v>52006</v>
      </c>
      <c r="J522" s="1">
        <v>7356</v>
      </c>
      <c r="K522" s="1">
        <v>59362</v>
      </c>
    </row>
    <row r="523" spans="1:11" x14ac:dyDescent="0.4">
      <c r="I523" s="1">
        <v>26003</v>
      </c>
      <c r="J523" s="1">
        <v>3678</v>
      </c>
      <c r="K523" s="1">
        <v>29681</v>
      </c>
    </row>
    <row r="529" spans="13:13" x14ac:dyDescent="0.4">
      <c r="M529" s="1"/>
    </row>
    <row r="530" spans="13:13" x14ac:dyDescent="0.4">
      <c r="M530" s="1"/>
    </row>
    <row r="531" spans="13:13" x14ac:dyDescent="0.4">
      <c r="M531" s="1"/>
    </row>
    <row r="532" spans="13:13" x14ac:dyDescent="0.4">
      <c r="M532" s="1"/>
    </row>
    <row r="533" spans="13:13" x14ac:dyDescent="0.4">
      <c r="M533" s="1"/>
    </row>
    <row r="534" spans="13:13" x14ac:dyDescent="0.4">
      <c r="M534" s="1"/>
    </row>
    <row r="535" spans="13:13" x14ac:dyDescent="0.4">
      <c r="M535" s="1"/>
    </row>
    <row r="536" spans="13:13" x14ac:dyDescent="0.4">
      <c r="M536" s="1"/>
    </row>
    <row r="537" spans="13:13" x14ac:dyDescent="0.4">
      <c r="M537" s="1"/>
    </row>
    <row r="538" spans="13:13" x14ac:dyDescent="0.4">
      <c r="M538" s="1"/>
    </row>
    <row r="539" spans="13:13" x14ac:dyDescent="0.4">
      <c r="M539" s="1"/>
    </row>
  </sheetData>
  <autoFilter ref="A1:K516" xr:uid="{00000000-0001-0000-0000-000000000000}">
    <filterColumn colId="7">
      <filters>
        <filter val="Cardiology"/>
        <filter val="Cardiothoracic Surgery"/>
        <filter val="Dermatology"/>
        <filter val="Gastroenterology"/>
        <filter val="General Medicine"/>
        <filter val="General Surgery"/>
        <filter val="Geriatric Medicine"/>
        <filter val="Gynaecology"/>
        <filter val="Neurology"/>
        <filter val="Neurosurgery"/>
        <filter val="Other"/>
        <filter val="Plastic Surgery"/>
        <filter val="Rheumatology"/>
        <filter val="Thoracic Medicine"/>
        <filter val="Trauma &amp; Orthopaedics"/>
        <filter val="Urology"/>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358A7-C64F-4666-B008-5EE243DF3836}">
  <dimension ref="A1:D33"/>
  <sheetViews>
    <sheetView workbookViewId="0">
      <selection activeCell="AS25" sqref="AS25"/>
    </sheetView>
  </sheetViews>
  <sheetFormatPr defaultRowHeight="14" x14ac:dyDescent="0.4"/>
  <cols>
    <col min="1" max="1" width="34.59765625" bestFit="1" customWidth="1"/>
    <col min="2" max="4" width="17.09765625" bestFit="1" customWidth="1"/>
    <col min="5" max="9" width="2.8984375" bestFit="1" customWidth="1"/>
    <col min="10" max="10" width="3.8984375" bestFit="1" customWidth="1"/>
    <col min="11" max="31" width="2.8984375" bestFit="1" customWidth="1"/>
    <col min="32" max="33" width="3.8984375" bestFit="1" customWidth="1"/>
    <col min="34" max="41" width="2.8984375" bestFit="1" customWidth="1"/>
    <col min="42" max="82" width="3.8984375" bestFit="1" customWidth="1"/>
    <col min="83" max="89" width="4.8984375" bestFit="1" customWidth="1"/>
    <col min="90" max="90" width="11" bestFit="1" customWidth="1"/>
  </cols>
  <sheetData>
    <row r="1" spans="1:2" ht="21" x14ac:dyDescent="0.55000000000000004">
      <c r="A1" s="8" t="s">
        <v>5</v>
      </c>
      <c r="B1" t="s">
        <v>305</v>
      </c>
    </row>
    <row r="3" spans="1:2" x14ac:dyDescent="0.4">
      <c r="A3" s="2" t="s">
        <v>7</v>
      </c>
      <c r="B3" t="s">
        <v>309</v>
      </c>
    </row>
    <row r="4" spans="1:2" x14ac:dyDescent="0.4">
      <c r="A4" s="3" t="s">
        <v>211</v>
      </c>
      <c r="B4" s="9">
        <v>100</v>
      </c>
    </row>
    <row r="5" spans="1:2" x14ac:dyDescent="0.4">
      <c r="A5" s="3" t="s">
        <v>209</v>
      </c>
      <c r="B5" s="9">
        <v>100</v>
      </c>
    </row>
    <row r="6" spans="1:2" x14ac:dyDescent="0.4">
      <c r="A6" s="3" t="s">
        <v>210</v>
      </c>
      <c r="B6" s="9">
        <v>99.21875</v>
      </c>
    </row>
    <row r="7" spans="1:2" x14ac:dyDescent="0.4">
      <c r="A7" s="3" t="s">
        <v>28</v>
      </c>
      <c r="B7" s="9">
        <v>97.642163661581137</v>
      </c>
    </row>
    <row r="8" spans="1:2" x14ac:dyDescent="0.4">
      <c r="A8" s="3" t="s">
        <v>51</v>
      </c>
      <c r="B8" s="9">
        <v>97.03504043126685</v>
      </c>
    </row>
    <row r="9" spans="1:2" x14ac:dyDescent="0.4">
      <c r="A9" s="3" t="s">
        <v>34</v>
      </c>
      <c r="B9" s="9">
        <v>96.76891615541922</v>
      </c>
    </row>
    <row r="10" spans="1:2" x14ac:dyDescent="0.4">
      <c r="A10" s="3" t="s">
        <v>40</v>
      </c>
      <c r="B10" s="9">
        <v>96.409335727109521</v>
      </c>
    </row>
    <row r="11" spans="1:2" x14ac:dyDescent="0.4">
      <c r="A11" s="3" t="s">
        <v>38</v>
      </c>
      <c r="B11" s="9">
        <v>93.157010915197318</v>
      </c>
    </row>
    <row r="12" spans="1:2" x14ac:dyDescent="0.4">
      <c r="A12" s="3" t="s">
        <v>31</v>
      </c>
      <c r="B12" s="9">
        <v>92.544773011245312</v>
      </c>
    </row>
    <row r="13" spans="1:2" x14ac:dyDescent="0.4">
      <c r="A13" s="3" t="s">
        <v>23</v>
      </c>
      <c r="B13" s="9">
        <v>92.242914979757089</v>
      </c>
    </row>
    <row r="14" spans="1:2" x14ac:dyDescent="0.4">
      <c r="A14" s="3" t="s">
        <v>39</v>
      </c>
      <c r="B14" s="9">
        <v>90.864197530864203</v>
      </c>
    </row>
    <row r="15" spans="1:2" x14ac:dyDescent="0.4">
      <c r="A15" s="3" t="s">
        <v>160</v>
      </c>
      <c r="B15" s="9">
        <v>90.5458089668616</v>
      </c>
    </row>
    <row r="16" spans="1:2" x14ac:dyDescent="0.4">
      <c r="A16" s="3" t="s">
        <v>18</v>
      </c>
      <c r="B16" s="9">
        <v>90.322580645161295</v>
      </c>
    </row>
    <row r="17" spans="1:2" x14ac:dyDescent="0.4">
      <c r="A17" s="3" t="s">
        <v>37</v>
      </c>
      <c r="B17" s="9">
        <v>84.199726402188787</v>
      </c>
    </row>
    <row r="18" spans="1:2" x14ac:dyDescent="0.4">
      <c r="A18" s="3" t="s">
        <v>15</v>
      </c>
      <c r="B18" s="9">
        <v>74.126534466477807</v>
      </c>
    </row>
    <row r="19" spans="1:2" x14ac:dyDescent="0.4">
      <c r="A19" s="3" t="s">
        <v>17</v>
      </c>
      <c r="B19" s="9">
        <v>68.093974990526718</v>
      </c>
    </row>
    <row r="20" spans="1:2" x14ac:dyDescent="0.4">
      <c r="A20" s="3" t="s">
        <v>302</v>
      </c>
      <c r="B20" s="9">
        <v>87.636412932962784</v>
      </c>
    </row>
    <row r="33" spans="4:4" ht="17.5" x14ac:dyDescent="0.45">
      <c r="D33" s="10" t="s">
        <v>310</v>
      </c>
    </row>
  </sheetData>
  <conditionalFormatting pivot="1" sqref="B4:B20">
    <cfRule type="cellIs" dxfId="19" priority="1" operator="lessThan">
      <formula>92</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71E1-27DA-49B9-AFA5-15F64A24A4DD}">
  <dimension ref="A1:D20"/>
  <sheetViews>
    <sheetView topLeftCell="A30" workbookViewId="0">
      <selection activeCell="V10" sqref="V10"/>
    </sheetView>
  </sheetViews>
  <sheetFormatPr defaultRowHeight="14" x14ac:dyDescent="0.4"/>
  <cols>
    <col min="1" max="1" width="34.59765625" bestFit="1" customWidth="1"/>
    <col min="2" max="2" width="16.5" bestFit="1" customWidth="1"/>
    <col min="3" max="3" width="11.796875" bestFit="1" customWidth="1"/>
    <col min="4" max="4" width="17.09765625" bestFit="1" customWidth="1"/>
    <col min="5" max="9" width="2.8984375" bestFit="1" customWidth="1"/>
    <col min="10" max="10" width="3.8984375" bestFit="1" customWidth="1"/>
    <col min="11" max="31" width="2.8984375" bestFit="1" customWidth="1"/>
    <col min="32" max="33" width="3.8984375" bestFit="1" customWidth="1"/>
    <col min="34" max="41" width="2.8984375" bestFit="1" customWidth="1"/>
    <col min="42" max="82" width="3.8984375" bestFit="1" customWidth="1"/>
    <col min="83" max="89" width="4.8984375" bestFit="1" customWidth="1"/>
    <col min="90" max="90" width="11" bestFit="1" customWidth="1"/>
  </cols>
  <sheetData>
    <row r="1" spans="1:4" ht="21" x14ac:dyDescent="0.55000000000000004">
      <c r="A1" s="8" t="s">
        <v>5</v>
      </c>
      <c r="B1" t="s">
        <v>311</v>
      </c>
    </row>
    <row r="3" spans="1:4" x14ac:dyDescent="0.4">
      <c r="A3" s="2" t="s">
        <v>7</v>
      </c>
      <c r="B3" s="1" t="s">
        <v>308</v>
      </c>
      <c r="C3" s="1" t="s">
        <v>301</v>
      </c>
      <c r="D3" t="s">
        <v>309</v>
      </c>
    </row>
    <row r="4" spans="1:4" x14ac:dyDescent="0.4">
      <c r="A4" s="3" t="s">
        <v>51</v>
      </c>
      <c r="B4" s="5">
        <v>1082</v>
      </c>
      <c r="C4" s="5">
        <v>1115</v>
      </c>
      <c r="D4" s="9">
        <v>97.040358744394624</v>
      </c>
    </row>
    <row r="5" spans="1:4" x14ac:dyDescent="0.4">
      <c r="A5" s="3" t="s">
        <v>211</v>
      </c>
      <c r="B5" s="5">
        <v>40</v>
      </c>
      <c r="C5" s="5">
        <v>40</v>
      </c>
      <c r="D5" s="9">
        <v>100</v>
      </c>
    </row>
    <row r="6" spans="1:4" x14ac:dyDescent="0.4">
      <c r="A6" s="3" t="s">
        <v>28</v>
      </c>
      <c r="B6" s="5">
        <v>1412</v>
      </c>
      <c r="C6" s="5">
        <v>1446</v>
      </c>
      <c r="D6" s="9">
        <v>97.648686030428763</v>
      </c>
    </row>
    <row r="7" spans="1:4" x14ac:dyDescent="0.4">
      <c r="A7" s="3" t="s">
        <v>39</v>
      </c>
      <c r="B7" s="5">
        <v>738</v>
      </c>
      <c r="C7" s="5">
        <v>812</v>
      </c>
      <c r="D7" s="9">
        <v>90.886699507389167</v>
      </c>
    </row>
    <row r="8" spans="1:4" x14ac:dyDescent="0.4">
      <c r="A8" s="3" t="s">
        <v>209</v>
      </c>
      <c r="B8" s="5">
        <v>89</v>
      </c>
      <c r="C8" s="5">
        <v>89</v>
      </c>
      <c r="D8" s="9">
        <v>100</v>
      </c>
    </row>
    <row r="9" spans="1:4" x14ac:dyDescent="0.4">
      <c r="A9" s="3" t="s">
        <v>37</v>
      </c>
      <c r="B9" s="5">
        <v>1241</v>
      </c>
      <c r="C9" s="5">
        <v>1475</v>
      </c>
      <c r="D9" s="9">
        <v>84.13559322033899</v>
      </c>
    </row>
    <row r="10" spans="1:4" x14ac:dyDescent="0.4">
      <c r="A10" s="3" t="s">
        <v>210</v>
      </c>
      <c r="B10" s="5">
        <v>127</v>
      </c>
      <c r="C10" s="5">
        <v>128</v>
      </c>
      <c r="D10" s="9">
        <v>99.21875</v>
      </c>
    </row>
    <row r="11" spans="1:4" x14ac:dyDescent="0.4">
      <c r="A11" s="3" t="s">
        <v>18</v>
      </c>
      <c r="B11" s="5">
        <v>2811</v>
      </c>
      <c r="C11" s="5">
        <v>3112</v>
      </c>
      <c r="D11" s="9">
        <v>90.327763496143959</v>
      </c>
    </row>
    <row r="12" spans="1:4" x14ac:dyDescent="0.4">
      <c r="A12" s="3" t="s">
        <v>31</v>
      </c>
      <c r="B12" s="5">
        <v>2237</v>
      </c>
      <c r="C12" s="5">
        <v>2416</v>
      </c>
      <c r="D12" s="9">
        <v>92.591059602649011</v>
      </c>
    </row>
    <row r="13" spans="1:4" x14ac:dyDescent="0.4">
      <c r="A13" s="3" t="s">
        <v>15</v>
      </c>
      <c r="B13" s="5">
        <v>794</v>
      </c>
      <c r="C13" s="5">
        <v>1073</v>
      </c>
      <c r="D13" s="9">
        <v>73.998136067101584</v>
      </c>
    </row>
    <row r="14" spans="1:4" x14ac:dyDescent="0.4">
      <c r="A14" s="3" t="s">
        <v>23</v>
      </c>
      <c r="B14" s="5">
        <v>5716</v>
      </c>
      <c r="C14" s="5">
        <v>6196</v>
      </c>
      <c r="D14" s="9">
        <v>92.253066494512595</v>
      </c>
    </row>
    <row r="15" spans="1:4" x14ac:dyDescent="0.4">
      <c r="A15" s="3" t="s">
        <v>38</v>
      </c>
      <c r="B15" s="5">
        <v>2225</v>
      </c>
      <c r="C15" s="5">
        <v>2388</v>
      </c>
      <c r="D15" s="9">
        <v>93.174204355108884</v>
      </c>
    </row>
    <row r="16" spans="1:4" x14ac:dyDescent="0.4">
      <c r="A16" s="3" t="s">
        <v>40</v>
      </c>
      <c r="B16" s="5">
        <v>539</v>
      </c>
      <c r="C16" s="5">
        <v>560</v>
      </c>
      <c r="D16" s="9">
        <v>96.25</v>
      </c>
    </row>
    <row r="17" spans="1:4" x14ac:dyDescent="0.4">
      <c r="A17" s="3" t="s">
        <v>160</v>
      </c>
      <c r="B17" s="5">
        <v>933</v>
      </c>
      <c r="C17" s="5">
        <v>1030</v>
      </c>
      <c r="D17" s="9">
        <v>90.582524271844662</v>
      </c>
    </row>
    <row r="18" spans="1:4" x14ac:dyDescent="0.4">
      <c r="A18" s="3" t="s">
        <v>17</v>
      </c>
      <c r="B18" s="5">
        <v>3639</v>
      </c>
      <c r="C18" s="5">
        <v>5342</v>
      </c>
      <c r="D18" s="9">
        <v>68.120554099588176</v>
      </c>
    </row>
    <row r="19" spans="1:4" x14ac:dyDescent="0.4">
      <c r="A19" s="3" t="s">
        <v>34</v>
      </c>
      <c r="B19" s="5">
        <v>2380</v>
      </c>
      <c r="C19" s="5">
        <v>2459</v>
      </c>
      <c r="D19" s="9">
        <v>96.787311915412772</v>
      </c>
    </row>
    <row r="20" spans="1:4" x14ac:dyDescent="0.4">
      <c r="A20" s="3" t="s">
        <v>302</v>
      </c>
      <c r="B20" s="5">
        <v>26003</v>
      </c>
      <c r="C20" s="5">
        <v>29681</v>
      </c>
      <c r="D20" s="9">
        <v>87.608234223914295</v>
      </c>
    </row>
  </sheetData>
  <conditionalFormatting pivot="1" sqref="D4:D20">
    <cfRule type="cellIs" dxfId="13" priority="1" operator="lessThan">
      <formula>92</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9"/>
  <sheetViews>
    <sheetView tabSelected="1" topLeftCell="E1" zoomScale="115" zoomScaleNormal="115" workbookViewId="0">
      <pane ySplit="1" topLeftCell="A2" activePane="bottomLeft" state="frozen"/>
      <selection pane="bottomLeft" activeCell="F47" sqref="F47"/>
    </sheetView>
  </sheetViews>
  <sheetFormatPr defaultRowHeight="14" x14ac:dyDescent="0.4"/>
  <cols>
    <col min="1" max="1" width="8" bestFit="1" customWidth="1"/>
    <col min="2" max="2" width="15.19921875" bestFit="1" customWidth="1"/>
    <col min="3" max="3" width="20.296875" bestFit="1" customWidth="1"/>
    <col min="4" max="4" width="27.5" bestFit="1" customWidth="1"/>
    <col min="5" max="5" width="26" bestFit="1" customWidth="1"/>
    <col min="6" max="6" width="62.69921875" bestFit="1" customWidth="1"/>
    <col min="7" max="7" width="22" bestFit="1" customWidth="1"/>
    <col min="8" max="8" width="27.5" bestFit="1" customWidth="1"/>
    <col min="9" max="9" width="10.296875" style="1" bestFit="1" customWidth="1"/>
    <col min="10" max="10" width="11.69921875" style="1" bestFit="1" customWidth="1"/>
    <col min="11" max="11" width="8.796875" style="1"/>
    <col min="13" max="13" width="75.19921875" customWidth="1"/>
  </cols>
  <sheetData>
    <row r="1" spans="1:13" ht="28" x14ac:dyDescent="0.4">
      <c r="A1" t="s">
        <v>0</v>
      </c>
      <c r="B1" t="s">
        <v>1</v>
      </c>
      <c r="C1" t="s">
        <v>2</v>
      </c>
      <c r="D1" t="s">
        <v>3</v>
      </c>
      <c r="E1" t="s">
        <v>4</v>
      </c>
      <c r="F1" t="s">
        <v>5</v>
      </c>
      <c r="G1" t="s">
        <v>6</v>
      </c>
      <c r="H1" t="s">
        <v>7</v>
      </c>
      <c r="I1" s="1" t="s">
        <v>296</v>
      </c>
      <c r="J1" s="1" t="s">
        <v>297</v>
      </c>
      <c r="K1" s="1" t="s">
        <v>8</v>
      </c>
      <c r="M1" s="7" t="s">
        <v>307</v>
      </c>
    </row>
    <row r="2" spans="1:13" x14ac:dyDescent="0.4">
      <c r="A2" t="s">
        <v>9</v>
      </c>
      <c r="B2" t="s">
        <v>10</v>
      </c>
      <c r="C2" t="s">
        <v>11</v>
      </c>
      <c r="D2" t="s">
        <v>12</v>
      </c>
      <c r="E2" t="s">
        <v>13</v>
      </c>
      <c r="F2" t="s">
        <v>14</v>
      </c>
      <c r="G2" t="s">
        <v>16</v>
      </c>
      <c r="H2" t="s">
        <v>17</v>
      </c>
      <c r="I2" s="1">
        <v>1</v>
      </c>
      <c r="J2" s="1">
        <v>0</v>
      </c>
      <c r="K2" s="1">
        <f>SUM(I2,J2)</f>
        <v>1</v>
      </c>
    </row>
    <row r="3" spans="1:13" x14ac:dyDescent="0.4">
      <c r="A3" t="s">
        <v>9</v>
      </c>
      <c r="B3" t="s">
        <v>10</v>
      </c>
      <c r="C3" t="s">
        <v>11</v>
      </c>
      <c r="D3" t="s">
        <v>12</v>
      </c>
      <c r="E3" t="s">
        <v>13</v>
      </c>
      <c r="F3" t="s">
        <v>14</v>
      </c>
      <c r="G3" t="s">
        <v>16</v>
      </c>
      <c r="H3" t="s">
        <v>18</v>
      </c>
      <c r="I3" s="1">
        <v>0</v>
      </c>
      <c r="J3" s="1">
        <v>1</v>
      </c>
      <c r="K3" s="1">
        <f t="shared" ref="K3:K66" si="0">SUM(I3,J3)</f>
        <v>1</v>
      </c>
    </row>
    <row r="4" spans="1:13" hidden="1" x14ac:dyDescent="0.4">
      <c r="A4" t="s">
        <v>9</v>
      </c>
      <c r="B4" t="s">
        <v>10</v>
      </c>
      <c r="C4" t="s">
        <v>11</v>
      </c>
      <c r="D4" t="s">
        <v>12</v>
      </c>
      <c r="E4" t="s">
        <v>13</v>
      </c>
      <c r="F4" t="s">
        <v>14</v>
      </c>
      <c r="G4" t="s">
        <v>16</v>
      </c>
      <c r="H4" t="s">
        <v>8</v>
      </c>
      <c r="I4" s="1">
        <v>1</v>
      </c>
      <c r="J4" s="1">
        <v>1</v>
      </c>
      <c r="K4" s="1">
        <f t="shared" si="0"/>
        <v>2</v>
      </c>
    </row>
    <row r="5" spans="1:13" x14ac:dyDescent="0.4">
      <c r="A5" t="s">
        <v>9</v>
      </c>
      <c r="B5" t="s">
        <v>10</v>
      </c>
      <c r="C5" t="s">
        <v>11</v>
      </c>
      <c r="D5" t="s">
        <v>12</v>
      </c>
      <c r="E5" t="s">
        <v>19</v>
      </c>
      <c r="F5" t="s">
        <v>20</v>
      </c>
      <c r="G5" t="s">
        <v>16</v>
      </c>
      <c r="H5" t="s">
        <v>17</v>
      </c>
      <c r="I5" s="1">
        <v>3</v>
      </c>
      <c r="J5" s="1">
        <v>1</v>
      </c>
      <c r="K5" s="1">
        <f t="shared" si="0"/>
        <v>4</v>
      </c>
    </row>
    <row r="6" spans="1:13" hidden="1" x14ac:dyDescent="0.4">
      <c r="A6" t="s">
        <v>9</v>
      </c>
      <c r="B6" t="s">
        <v>10</v>
      </c>
      <c r="C6" t="s">
        <v>11</v>
      </c>
      <c r="D6" t="s">
        <v>12</v>
      </c>
      <c r="E6" t="s">
        <v>19</v>
      </c>
      <c r="F6" t="s">
        <v>20</v>
      </c>
      <c r="G6" t="s">
        <v>16</v>
      </c>
      <c r="H6" t="s">
        <v>8</v>
      </c>
      <c r="I6" s="1">
        <v>3</v>
      </c>
      <c r="J6" s="1">
        <v>1</v>
      </c>
      <c r="K6" s="1">
        <f t="shared" si="0"/>
        <v>4</v>
      </c>
    </row>
    <row r="7" spans="1:13" hidden="1" x14ac:dyDescent="0.4">
      <c r="A7" t="s">
        <v>9</v>
      </c>
      <c r="B7" t="s">
        <v>10</v>
      </c>
      <c r="C7" t="s">
        <v>11</v>
      </c>
      <c r="D7" t="s">
        <v>12</v>
      </c>
      <c r="E7" t="s">
        <v>21</v>
      </c>
      <c r="F7" t="s">
        <v>22</v>
      </c>
      <c r="G7" t="s">
        <v>16</v>
      </c>
      <c r="H7" t="s">
        <v>8</v>
      </c>
      <c r="I7" s="1">
        <v>1</v>
      </c>
      <c r="J7" s="1">
        <v>0</v>
      </c>
      <c r="K7" s="1">
        <f t="shared" si="0"/>
        <v>1</v>
      </c>
    </row>
    <row r="8" spans="1:13" x14ac:dyDescent="0.4">
      <c r="A8" t="s">
        <v>9</v>
      </c>
      <c r="B8" t="s">
        <v>10</v>
      </c>
      <c r="C8" t="s">
        <v>11</v>
      </c>
      <c r="D8" t="s">
        <v>12</v>
      </c>
      <c r="E8" t="s">
        <v>21</v>
      </c>
      <c r="F8" t="s">
        <v>22</v>
      </c>
      <c r="G8" t="s">
        <v>16</v>
      </c>
      <c r="H8" t="s">
        <v>23</v>
      </c>
      <c r="I8" s="1">
        <v>1</v>
      </c>
      <c r="J8" s="1">
        <v>0</v>
      </c>
      <c r="K8" s="1">
        <f t="shared" si="0"/>
        <v>1</v>
      </c>
    </row>
    <row r="9" spans="1:13" x14ac:dyDescent="0.4">
      <c r="A9" t="s">
        <v>9</v>
      </c>
      <c r="B9" t="s">
        <v>10</v>
      </c>
      <c r="C9" t="s">
        <v>11</v>
      </c>
      <c r="D9" t="s">
        <v>12</v>
      </c>
      <c r="E9" t="s">
        <v>24</v>
      </c>
      <c r="F9" t="s">
        <v>25</v>
      </c>
      <c r="G9" t="s">
        <v>16</v>
      </c>
      <c r="H9" t="s">
        <v>17</v>
      </c>
      <c r="I9" s="1">
        <v>0</v>
      </c>
      <c r="J9" s="1">
        <v>2</v>
      </c>
      <c r="K9" s="1">
        <f t="shared" si="0"/>
        <v>2</v>
      </c>
    </row>
    <row r="10" spans="1:13" x14ac:dyDescent="0.4">
      <c r="A10" t="s">
        <v>9</v>
      </c>
      <c r="B10" t="s">
        <v>10</v>
      </c>
      <c r="C10" t="s">
        <v>11</v>
      </c>
      <c r="D10" t="s">
        <v>12</v>
      </c>
      <c r="E10" t="s">
        <v>24</v>
      </c>
      <c r="F10" t="s">
        <v>25</v>
      </c>
      <c r="G10" t="s">
        <v>16</v>
      </c>
      <c r="H10" t="s">
        <v>15</v>
      </c>
      <c r="I10" s="1">
        <v>0</v>
      </c>
      <c r="J10" s="1">
        <v>1</v>
      </c>
      <c r="K10" s="1">
        <f t="shared" si="0"/>
        <v>1</v>
      </c>
    </row>
    <row r="11" spans="1:13" hidden="1" x14ac:dyDescent="0.4">
      <c r="A11" t="s">
        <v>9</v>
      </c>
      <c r="B11" t="s">
        <v>10</v>
      </c>
      <c r="C11" t="s">
        <v>11</v>
      </c>
      <c r="D11" t="s">
        <v>12</v>
      </c>
      <c r="E11" t="s">
        <v>24</v>
      </c>
      <c r="F11" t="s">
        <v>25</v>
      </c>
      <c r="G11" t="s">
        <v>16</v>
      </c>
      <c r="H11" t="s">
        <v>8</v>
      </c>
      <c r="I11" s="1">
        <v>2</v>
      </c>
      <c r="J11" s="1">
        <v>3</v>
      </c>
      <c r="K11" s="1">
        <f t="shared" si="0"/>
        <v>5</v>
      </c>
    </row>
    <row r="12" spans="1:13" x14ac:dyDescent="0.4">
      <c r="A12" t="s">
        <v>9</v>
      </c>
      <c r="B12" t="s">
        <v>10</v>
      </c>
      <c r="C12" t="s">
        <v>11</v>
      </c>
      <c r="D12" t="s">
        <v>12</v>
      </c>
      <c r="E12" t="s">
        <v>24</v>
      </c>
      <c r="F12" t="s">
        <v>25</v>
      </c>
      <c r="G12" t="s">
        <v>16</v>
      </c>
      <c r="H12" t="s">
        <v>23</v>
      </c>
      <c r="I12" s="1">
        <v>2</v>
      </c>
      <c r="J12" s="1">
        <v>0</v>
      </c>
      <c r="K12" s="1">
        <f t="shared" si="0"/>
        <v>2</v>
      </c>
    </row>
    <row r="13" spans="1:13" x14ac:dyDescent="0.4">
      <c r="A13" t="s">
        <v>9</v>
      </c>
      <c r="B13" t="s">
        <v>10</v>
      </c>
      <c r="C13" t="s">
        <v>11</v>
      </c>
      <c r="D13" t="s">
        <v>12</v>
      </c>
      <c r="E13" t="s">
        <v>26</v>
      </c>
      <c r="F13" t="s">
        <v>27</v>
      </c>
      <c r="G13" t="s">
        <v>16</v>
      </c>
      <c r="H13" t="s">
        <v>17</v>
      </c>
      <c r="I13" s="1">
        <v>1</v>
      </c>
      <c r="J13" s="1">
        <v>1</v>
      </c>
      <c r="K13" s="1">
        <f t="shared" si="0"/>
        <v>2</v>
      </c>
    </row>
    <row r="14" spans="1:13" x14ac:dyDescent="0.4">
      <c r="A14" t="s">
        <v>9</v>
      </c>
      <c r="B14" t="s">
        <v>10</v>
      </c>
      <c r="C14" t="s">
        <v>11</v>
      </c>
      <c r="D14" t="s">
        <v>12</v>
      </c>
      <c r="E14" t="s">
        <v>26</v>
      </c>
      <c r="F14" t="s">
        <v>27</v>
      </c>
      <c r="G14" t="s">
        <v>16</v>
      </c>
      <c r="H14" t="s">
        <v>18</v>
      </c>
      <c r="I14" s="1">
        <v>1</v>
      </c>
      <c r="J14" s="1">
        <v>0</v>
      </c>
      <c r="K14" s="1">
        <f t="shared" si="0"/>
        <v>1</v>
      </c>
    </row>
    <row r="15" spans="1:13" hidden="1" x14ac:dyDescent="0.4">
      <c r="A15" t="s">
        <v>9</v>
      </c>
      <c r="B15" t="s">
        <v>10</v>
      </c>
      <c r="C15" t="s">
        <v>11</v>
      </c>
      <c r="D15" t="s">
        <v>12</v>
      </c>
      <c r="E15" t="s">
        <v>26</v>
      </c>
      <c r="F15" t="s">
        <v>27</v>
      </c>
      <c r="G15" t="s">
        <v>16</v>
      </c>
      <c r="H15" t="s">
        <v>8</v>
      </c>
      <c r="I15" s="1">
        <v>3</v>
      </c>
      <c r="J15" s="1">
        <v>1</v>
      </c>
      <c r="K15" s="1">
        <f t="shared" si="0"/>
        <v>4</v>
      </c>
    </row>
    <row r="16" spans="1:13" x14ac:dyDescent="0.4">
      <c r="A16" t="s">
        <v>9</v>
      </c>
      <c r="B16" t="s">
        <v>10</v>
      </c>
      <c r="C16" t="s">
        <v>11</v>
      </c>
      <c r="D16" t="s">
        <v>12</v>
      </c>
      <c r="E16" t="s">
        <v>26</v>
      </c>
      <c r="F16" t="s">
        <v>27</v>
      </c>
      <c r="G16" t="s">
        <v>16</v>
      </c>
      <c r="H16" t="s">
        <v>23</v>
      </c>
      <c r="I16" s="1">
        <v>1</v>
      </c>
      <c r="J16" s="1">
        <v>0</v>
      </c>
      <c r="K16" s="1">
        <f t="shared" si="0"/>
        <v>1</v>
      </c>
    </row>
    <row r="17" spans="1:11" x14ac:dyDescent="0.4">
      <c r="A17" t="s">
        <v>9</v>
      </c>
      <c r="B17" t="s">
        <v>10</v>
      </c>
      <c r="C17" t="s">
        <v>11</v>
      </c>
      <c r="D17" t="s">
        <v>12</v>
      </c>
      <c r="E17" t="s">
        <v>29</v>
      </c>
      <c r="F17" t="s">
        <v>30</v>
      </c>
      <c r="G17" t="s">
        <v>16</v>
      </c>
      <c r="H17" t="s">
        <v>31</v>
      </c>
      <c r="I17" s="1">
        <v>1</v>
      </c>
      <c r="J17" s="1">
        <v>0</v>
      </c>
      <c r="K17" s="1">
        <f t="shared" si="0"/>
        <v>1</v>
      </c>
    </row>
    <row r="18" spans="1:11" x14ac:dyDescent="0.4">
      <c r="A18" t="s">
        <v>9</v>
      </c>
      <c r="B18" t="s">
        <v>10</v>
      </c>
      <c r="C18" t="s">
        <v>11</v>
      </c>
      <c r="D18" t="s">
        <v>12</v>
      </c>
      <c r="E18" t="s">
        <v>29</v>
      </c>
      <c r="F18" t="s">
        <v>30</v>
      </c>
      <c r="G18" t="s">
        <v>16</v>
      </c>
      <c r="H18" t="s">
        <v>18</v>
      </c>
      <c r="I18" s="1">
        <v>0</v>
      </c>
      <c r="J18" s="1">
        <v>1</v>
      </c>
      <c r="K18" s="1">
        <f t="shared" si="0"/>
        <v>1</v>
      </c>
    </row>
    <row r="19" spans="1:11" hidden="1" x14ac:dyDescent="0.4">
      <c r="A19" t="s">
        <v>9</v>
      </c>
      <c r="B19" t="s">
        <v>10</v>
      </c>
      <c r="C19" t="s">
        <v>11</v>
      </c>
      <c r="D19" t="s">
        <v>12</v>
      </c>
      <c r="E19" t="s">
        <v>29</v>
      </c>
      <c r="F19" t="s">
        <v>30</v>
      </c>
      <c r="G19" t="s">
        <v>16</v>
      </c>
      <c r="H19" t="s">
        <v>8</v>
      </c>
      <c r="I19" s="1">
        <v>1</v>
      </c>
      <c r="J19" s="1">
        <v>2</v>
      </c>
      <c r="K19" s="1">
        <f t="shared" si="0"/>
        <v>3</v>
      </c>
    </row>
    <row r="20" spans="1:11" x14ac:dyDescent="0.4">
      <c r="A20" t="s">
        <v>9</v>
      </c>
      <c r="B20" t="s">
        <v>10</v>
      </c>
      <c r="C20" t="s">
        <v>11</v>
      </c>
      <c r="D20" t="s">
        <v>12</v>
      </c>
      <c r="E20" t="s">
        <v>29</v>
      </c>
      <c r="F20" t="s">
        <v>30</v>
      </c>
      <c r="G20" t="s">
        <v>16</v>
      </c>
      <c r="H20" t="s">
        <v>23</v>
      </c>
      <c r="I20" s="1">
        <v>0</v>
      </c>
      <c r="J20" s="1">
        <v>1</v>
      </c>
      <c r="K20" s="1">
        <f t="shared" si="0"/>
        <v>1</v>
      </c>
    </row>
    <row r="21" spans="1:11" x14ac:dyDescent="0.4">
      <c r="A21" t="s">
        <v>9</v>
      </c>
      <c r="B21" t="s">
        <v>10</v>
      </c>
      <c r="C21" t="s">
        <v>11</v>
      </c>
      <c r="D21" t="s">
        <v>12</v>
      </c>
      <c r="E21" t="s">
        <v>32</v>
      </c>
      <c r="F21" t="s">
        <v>33</v>
      </c>
      <c r="G21" t="s">
        <v>16</v>
      </c>
      <c r="H21" t="s">
        <v>34</v>
      </c>
      <c r="I21" s="1">
        <v>1</v>
      </c>
      <c r="J21" s="1">
        <v>0</v>
      </c>
      <c r="K21" s="1">
        <f t="shared" si="0"/>
        <v>1</v>
      </c>
    </row>
    <row r="22" spans="1:11" x14ac:dyDescent="0.4">
      <c r="A22" t="s">
        <v>9</v>
      </c>
      <c r="B22" t="s">
        <v>10</v>
      </c>
      <c r="C22" t="s">
        <v>11</v>
      </c>
      <c r="D22" t="s">
        <v>12</v>
      </c>
      <c r="E22" t="s">
        <v>32</v>
      </c>
      <c r="F22" t="s">
        <v>33</v>
      </c>
      <c r="G22" t="s">
        <v>16</v>
      </c>
      <c r="H22" t="s">
        <v>17</v>
      </c>
      <c r="I22" s="1">
        <v>2</v>
      </c>
      <c r="J22" s="1">
        <v>1</v>
      </c>
      <c r="K22" s="1">
        <f t="shared" si="0"/>
        <v>3</v>
      </c>
    </row>
    <row r="23" spans="1:11" x14ac:dyDescent="0.4">
      <c r="A23" t="s">
        <v>9</v>
      </c>
      <c r="B23" t="s">
        <v>10</v>
      </c>
      <c r="C23" t="s">
        <v>11</v>
      </c>
      <c r="D23" t="s">
        <v>12</v>
      </c>
      <c r="E23" t="s">
        <v>32</v>
      </c>
      <c r="F23" t="s">
        <v>33</v>
      </c>
      <c r="G23" t="s">
        <v>16</v>
      </c>
      <c r="H23" t="s">
        <v>15</v>
      </c>
      <c r="I23" s="1">
        <v>4</v>
      </c>
      <c r="J23" s="1">
        <v>1</v>
      </c>
      <c r="K23" s="1">
        <f t="shared" si="0"/>
        <v>5</v>
      </c>
    </row>
    <row r="24" spans="1:11" x14ac:dyDescent="0.4">
      <c r="A24" t="s">
        <v>9</v>
      </c>
      <c r="B24" t="s">
        <v>10</v>
      </c>
      <c r="C24" t="s">
        <v>11</v>
      </c>
      <c r="D24" t="s">
        <v>12</v>
      </c>
      <c r="E24" t="s">
        <v>32</v>
      </c>
      <c r="F24" t="s">
        <v>33</v>
      </c>
      <c r="G24" t="s">
        <v>16</v>
      </c>
      <c r="H24" t="s">
        <v>18</v>
      </c>
      <c r="I24" s="1">
        <v>1</v>
      </c>
      <c r="J24" s="1">
        <v>0</v>
      </c>
      <c r="K24" s="1">
        <f t="shared" si="0"/>
        <v>1</v>
      </c>
    </row>
    <row r="25" spans="1:11" hidden="1" x14ac:dyDescent="0.4">
      <c r="A25" t="s">
        <v>9</v>
      </c>
      <c r="B25" t="s">
        <v>10</v>
      </c>
      <c r="C25" t="s">
        <v>11</v>
      </c>
      <c r="D25" t="s">
        <v>12</v>
      </c>
      <c r="E25" t="s">
        <v>32</v>
      </c>
      <c r="F25" t="s">
        <v>33</v>
      </c>
      <c r="G25" t="s">
        <v>16</v>
      </c>
      <c r="H25" t="s">
        <v>8</v>
      </c>
      <c r="I25" s="1">
        <v>9</v>
      </c>
      <c r="J25" s="1">
        <v>3</v>
      </c>
      <c r="K25" s="1">
        <f t="shared" si="0"/>
        <v>12</v>
      </c>
    </row>
    <row r="26" spans="1:11" x14ac:dyDescent="0.4">
      <c r="A26" t="s">
        <v>9</v>
      </c>
      <c r="B26" t="s">
        <v>10</v>
      </c>
      <c r="C26" t="s">
        <v>11</v>
      </c>
      <c r="D26" t="s">
        <v>12</v>
      </c>
      <c r="E26" t="s">
        <v>32</v>
      </c>
      <c r="F26" t="s">
        <v>33</v>
      </c>
      <c r="G26" t="s">
        <v>16</v>
      </c>
      <c r="H26" t="s">
        <v>23</v>
      </c>
      <c r="I26" s="1">
        <v>1</v>
      </c>
      <c r="J26" s="1">
        <v>1</v>
      </c>
      <c r="K26" s="1">
        <f t="shared" si="0"/>
        <v>2</v>
      </c>
    </row>
    <row r="27" spans="1:11" x14ac:dyDescent="0.4">
      <c r="A27" t="s">
        <v>9</v>
      </c>
      <c r="B27" t="s">
        <v>10</v>
      </c>
      <c r="C27" t="s">
        <v>11</v>
      </c>
      <c r="D27" t="s">
        <v>12</v>
      </c>
      <c r="E27" t="s">
        <v>35</v>
      </c>
      <c r="F27" t="s">
        <v>36</v>
      </c>
      <c r="G27" t="s">
        <v>16</v>
      </c>
      <c r="H27" t="s">
        <v>37</v>
      </c>
      <c r="I27" s="1">
        <v>1</v>
      </c>
      <c r="J27" s="1">
        <v>0</v>
      </c>
      <c r="K27" s="1">
        <f t="shared" si="0"/>
        <v>1</v>
      </c>
    </row>
    <row r="28" spans="1:11" x14ac:dyDescent="0.4">
      <c r="A28" t="s">
        <v>9</v>
      </c>
      <c r="B28" t="s">
        <v>10</v>
      </c>
      <c r="C28" t="s">
        <v>11</v>
      </c>
      <c r="D28" t="s">
        <v>12</v>
      </c>
      <c r="E28" t="s">
        <v>35</v>
      </c>
      <c r="F28" t="s">
        <v>36</v>
      </c>
      <c r="G28" t="s">
        <v>16</v>
      </c>
      <c r="H28" t="s">
        <v>34</v>
      </c>
      <c r="I28" s="1">
        <v>4</v>
      </c>
      <c r="J28" s="1">
        <v>1</v>
      </c>
      <c r="K28" s="1">
        <f t="shared" si="0"/>
        <v>5</v>
      </c>
    </row>
    <row r="29" spans="1:11" x14ac:dyDescent="0.4">
      <c r="A29" t="s">
        <v>9</v>
      </c>
      <c r="B29" t="s">
        <v>10</v>
      </c>
      <c r="C29" t="s">
        <v>11</v>
      </c>
      <c r="D29" t="s">
        <v>12</v>
      </c>
      <c r="E29" t="s">
        <v>35</v>
      </c>
      <c r="F29" t="s">
        <v>36</v>
      </c>
      <c r="G29" t="s">
        <v>16</v>
      </c>
      <c r="H29" t="s">
        <v>17</v>
      </c>
      <c r="I29" s="1">
        <v>8</v>
      </c>
      <c r="J29" s="1">
        <v>3</v>
      </c>
      <c r="K29" s="1">
        <f t="shared" si="0"/>
        <v>11</v>
      </c>
    </row>
    <row r="30" spans="1:11" x14ac:dyDescent="0.4">
      <c r="A30" t="s">
        <v>9</v>
      </c>
      <c r="B30" t="s">
        <v>10</v>
      </c>
      <c r="C30" t="s">
        <v>11</v>
      </c>
      <c r="D30" t="s">
        <v>12</v>
      </c>
      <c r="E30" t="s">
        <v>35</v>
      </c>
      <c r="F30" t="s">
        <v>36</v>
      </c>
      <c r="G30" t="s">
        <v>16</v>
      </c>
      <c r="H30" t="s">
        <v>15</v>
      </c>
      <c r="I30" s="1">
        <v>8</v>
      </c>
      <c r="J30" s="1">
        <v>3</v>
      </c>
      <c r="K30" s="1">
        <f t="shared" si="0"/>
        <v>11</v>
      </c>
    </row>
    <row r="31" spans="1:11" x14ac:dyDescent="0.4">
      <c r="A31" t="s">
        <v>9</v>
      </c>
      <c r="B31" t="s">
        <v>10</v>
      </c>
      <c r="C31" t="s">
        <v>11</v>
      </c>
      <c r="D31" t="s">
        <v>12</v>
      </c>
      <c r="E31" t="s">
        <v>35</v>
      </c>
      <c r="F31" t="s">
        <v>36</v>
      </c>
      <c r="G31" t="s">
        <v>16</v>
      </c>
      <c r="H31" t="s">
        <v>38</v>
      </c>
      <c r="I31" s="1">
        <v>8</v>
      </c>
      <c r="J31" s="1">
        <v>1</v>
      </c>
      <c r="K31" s="1">
        <f t="shared" si="0"/>
        <v>9</v>
      </c>
    </row>
    <row r="32" spans="1:11" x14ac:dyDescent="0.4">
      <c r="A32" t="s">
        <v>9</v>
      </c>
      <c r="B32" t="s">
        <v>10</v>
      </c>
      <c r="C32" t="s">
        <v>11</v>
      </c>
      <c r="D32" t="s">
        <v>12</v>
      </c>
      <c r="E32" t="s">
        <v>35</v>
      </c>
      <c r="F32" t="s">
        <v>36</v>
      </c>
      <c r="G32" t="s">
        <v>16</v>
      </c>
      <c r="H32" t="s">
        <v>39</v>
      </c>
      <c r="I32" s="1">
        <v>3</v>
      </c>
      <c r="J32" s="1">
        <v>1</v>
      </c>
      <c r="K32" s="1">
        <f t="shared" si="0"/>
        <v>4</v>
      </c>
    </row>
    <row r="33" spans="1:11" x14ac:dyDescent="0.4">
      <c r="A33" t="s">
        <v>9</v>
      </c>
      <c r="B33" t="s">
        <v>10</v>
      </c>
      <c r="C33" t="s">
        <v>11</v>
      </c>
      <c r="D33" t="s">
        <v>12</v>
      </c>
      <c r="E33" t="s">
        <v>35</v>
      </c>
      <c r="F33" t="s">
        <v>36</v>
      </c>
      <c r="G33" t="s">
        <v>16</v>
      </c>
      <c r="H33" t="s">
        <v>31</v>
      </c>
      <c r="I33" s="1">
        <v>3</v>
      </c>
      <c r="J33" s="1">
        <v>0</v>
      </c>
      <c r="K33" s="1">
        <f t="shared" si="0"/>
        <v>3</v>
      </c>
    </row>
    <row r="34" spans="1:11" x14ac:dyDescent="0.4">
      <c r="A34" t="s">
        <v>9</v>
      </c>
      <c r="B34" t="s">
        <v>10</v>
      </c>
      <c r="C34" t="s">
        <v>11</v>
      </c>
      <c r="D34" t="s">
        <v>12</v>
      </c>
      <c r="E34" t="s">
        <v>35</v>
      </c>
      <c r="F34" t="s">
        <v>36</v>
      </c>
      <c r="G34" t="s">
        <v>16</v>
      </c>
      <c r="H34" t="s">
        <v>40</v>
      </c>
      <c r="I34" s="1">
        <v>1</v>
      </c>
      <c r="J34" s="1">
        <v>0</v>
      </c>
      <c r="K34" s="1">
        <f t="shared" si="0"/>
        <v>1</v>
      </c>
    </row>
    <row r="35" spans="1:11" hidden="1" x14ac:dyDescent="0.4">
      <c r="A35" t="s">
        <v>9</v>
      </c>
      <c r="B35" t="s">
        <v>10</v>
      </c>
      <c r="C35" t="s">
        <v>11</v>
      </c>
      <c r="D35" t="s">
        <v>12</v>
      </c>
      <c r="E35" t="s">
        <v>35</v>
      </c>
      <c r="F35" t="s">
        <v>36</v>
      </c>
      <c r="G35" t="s">
        <v>16</v>
      </c>
      <c r="H35" t="s">
        <v>8</v>
      </c>
      <c r="I35" s="1">
        <v>47</v>
      </c>
      <c r="J35" s="1">
        <v>13</v>
      </c>
      <c r="K35" s="1">
        <f t="shared" si="0"/>
        <v>60</v>
      </c>
    </row>
    <row r="36" spans="1:11" x14ac:dyDescent="0.4">
      <c r="A36" t="s">
        <v>9</v>
      </c>
      <c r="B36" t="s">
        <v>10</v>
      </c>
      <c r="C36" t="s">
        <v>11</v>
      </c>
      <c r="D36" t="s">
        <v>12</v>
      </c>
      <c r="E36" t="s">
        <v>35</v>
      </c>
      <c r="F36" t="s">
        <v>36</v>
      </c>
      <c r="G36" t="s">
        <v>16</v>
      </c>
      <c r="H36" t="s">
        <v>23</v>
      </c>
      <c r="I36" s="1">
        <v>11</v>
      </c>
      <c r="J36" s="1">
        <v>4</v>
      </c>
      <c r="K36" s="1">
        <f t="shared" si="0"/>
        <v>15</v>
      </c>
    </row>
    <row r="37" spans="1:11" x14ac:dyDescent="0.4">
      <c r="A37" t="s">
        <v>9</v>
      </c>
      <c r="B37" t="s">
        <v>10</v>
      </c>
      <c r="C37" t="s">
        <v>11</v>
      </c>
      <c r="D37" t="s">
        <v>12</v>
      </c>
      <c r="E37" t="s">
        <v>41</v>
      </c>
      <c r="F37" t="s">
        <v>42</v>
      </c>
      <c r="G37" t="s">
        <v>16</v>
      </c>
      <c r="H37" t="s">
        <v>17</v>
      </c>
      <c r="I37" s="1">
        <v>1</v>
      </c>
      <c r="J37" s="1">
        <v>1</v>
      </c>
      <c r="K37" s="1">
        <f t="shared" si="0"/>
        <v>2</v>
      </c>
    </row>
    <row r="38" spans="1:11" hidden="1" x14ac:dyDescent="0.4">
      <c r="A38" t="s">
        <v>9</v>
      </c>
      <c r="B38" t="s">
        <v>10</v>
      </c>
      <c r="C38" t="s">
        <v>11</v>
      </c>
      <c r="D38" t="s">
        <v>12</v>
      </c>
      <c r="E38" t="s">
        <v>41</v>
      </c>
      <c r="F38" t="s">
        <v>42</v>
      </c>
      <c r="G38" t="s">
        <v>16</v>
      </c>
      <c r="H38" t="s">
        <v>8</v>
      </c>
      <c r="I38" s="1">
        <v>1</v>
      </c>
      <c r="J38" s="1">
        <v>1</v>
      </c>
      <c r="K38" s="1">
        <f t="shared" si="0"/>
        <v>2</v>
      </c>
    </row>
    <row r="39" spans="1:11" x14ac:dyDescent="0.4">
      <c r="A39" t="s">
        <v>9</v>
      </c>
      <c r="B39" t="s">
        <v>10</v>
      </c>
      <c r="C39" t="s">
        <v>11</v>
      </c>
      <c r="D39" t="s">
        <v>12</v>
      </c>
      <c r="E39" t="s">
        <v>43</v>
      </c>
      <c r="F39" t="s">
        <v>44</v>
      </c>
      <c r="G39" t="s">
        <v>16</v>
      </c>
      <c r="H39" t="s">
        <v>17</v>
      </c>
      <c r="I39" s="1">
        <v>1</v>
      </c>
      <c r="J39" s="1">
        <v>0</v>
      </c>
      <c r="K39" s="1">
        <f t="shared" si="0"/>
        <v>1</v>
      </c>
    </row>
    <row r="40" spans="1:11" x14ac:dyDescent="0.4">
      <c r="A40" t="s">
        <v>9</v>
      </c>
      <c r="B40" t="s">
        <v>10</v>
      </c>
      <c r="C40" t="s">
        <v>11</v>
      </c>
      <c r="D40" t="s">
        <v>12</v>
      </c>
      <c r="E40" t="s">
        <v>43</v>
      </c>
      <c r="F40" t="s">
        <v>44</v>
      </c>
      <c r="G40" t="s">
        <v>16</v>
      </c>
      <c r="H40" t="s">
        <v>15</v>
      </c>
      <c r="I40" s="1">
        <v>1</v>
      </c>
      <c r="J40" s="1">
        <v>0</v>
      </c>
      <c r="K40" s="1">
        <f t="shared" si="0"/>
        <v>1</v>
      </c>
    </row>
    <row r="41" spans="1:11" x14ac:dyDescent="0.4">
      <c r="A41" t="s">
        <v>9</v>
      </c>
      <c r="B41" t="s">
        <v>10</v>
      </c>
      <c r="C41" t="s">
        <v>11</v>
      </c>
      <c r="D41" t="s">
        <v>12</v>
      </c>
      <c r="E41" t="s">
        <v>43</v>
      </c>
      <c r="F41" t="s">
        <v>44</v>
      </c>
      <c r="G41" t="s">
        <v>16</v>
      </c>
      <c r="H41" t="s">
        <v>18</v>
      </c>
      <c r="I41" s="1">
        <v>0</v>
      </c>
      <c r="J41" s="1">
        <v>1</v>
      </c>
      <c r="K41" s="1">
        <f t="shared" si="0"/>
        <v>1</v>
      </c>
    </row>
    <row r="42" spans="1:11" hidden="1" x14ac:dyDescent="0.4">
      <c r="A42" t="s">
        <v>9</v>
      </c>
      <c r="B42" t="s">
        <v>10</v>
      </c>
      <c r="C42" t="s">
        <v>11</v>
      </c>
      <c r="D42" t="s">
        <v>12</v>
      </c>
      <c r="E42" t="s">
        <v>43</v>
      </c>
      <c r="F42" t="s">
        <v>44</v>
      </c>
      <c r="G42" t="s">
        <v>16</v>
      </c>
      <c r="H42" t="s">
        <v>8</v>
      </c>
      <c r="I42" s="1">
        <v>2</v>
      </c>
      <c r="J42" s="1">
        <v>1</v>
      </c>
      <c r="K42" s="1">
        <f t="shared" si="0"/>
        <v>3</v>
      </c>
    </row>
    <row r="43" spans="1:11" x14ac:dyDescent="0.4">
      <c r="A43" t="s">
        <v>9</v>
      </c>
      <c r="B43" t="s">
        <v>10</v>
      </c>
      <c r="C43" t="s">
        <v>11</v>
      </c>
      <c r="D43" t="s">
        <v>12</v>
      </c>
      <c r="E43" t="s">
        <v>45</v>
      </c>
      <c r="F43" t="s">
        <v>46</v>
      </c>
      <c r="G43" t="s">
        <v>16</v>
      </c>
      <c r="H43" t="s">
        <v>15</v>
      </c>
      <c r="I43" s="1">
        <v>1</v>
      </c>
      <c r="J43" s="1">
        <v>0</v>
      </c>
      <c r="K43" s="1">
        <f t="shared" si="0"/>
        <v>1</v>
      </c>
    </row>
    <row r="44" spans="1:11" hidden="1" x14ac:dyDescent="0.4">
      <c r="A44" t="s">
        <v>9</v>
      </c>
      <c r="B44" t="s">
        <v>10</v>
      </c>
      <c r="C44" t="s">
        <v>11</v>
      </c>
      <c r="D44" t="s">
        <v>12</v>
      </c>
      <c r="E44" t="s">
        <v>45</v>
      </c>
      <c r="F44" t="s">
        <v>46</v>
      </c>
      <c r="G44" t="s">
        <v>16</v>
      </c>
      <c r="H44" t="s">
        <v>8</v>
      </c>
      <c r="I44" s="1">
        <v>1</v>
      </c>
      <c r="J44" s="1">
        <v>0</v>
      </c>
      <c r="K44" s="1">
        <f t="shared" si="0"/>
        <v>1</v>
      </c>
    </row>
    <row r="45" spans="1:11" x14ac:dyDescent="0.4">
      <c r="A45" t="s">
        <v>9</v>
      </c>
      <c r="B45" t="s">
        <v>10</v>
      </c>
      <c r="C45" t="s">
        <v>11</v>
      </c>
      <c r="D45" t="s">
        <v>12</v>
      </c>
      <c r="E45" t="s">
        <v>47</v>
      </c>
      <c r="F45" t="s">
        <v>48</v>
      </c>
      <c r="G45" t="s">
        <v>16</v>
      </c>
      <c r="H45" t="s">
        <v>17</v>
      </c>
      <c r="I45" s="1">
        <v>0</v>
      </c>
      <c r="J45" s="1">
        <v>1</v>
      </c>
      <c r="K45" s="1">
        <f t="shared" si="0"/>
        <v>1</v>
      </c>
    </row>
    <row r="46" spans="1:11" hidden="1" x14ac:dyDescent="0.4">
      <c r="A46" t="s">
        <v>9</v>
      </c>
      <c r="B46" t="s">
        <v>10</v>
      </c>
      <c r="C46" t="s">
        <v>11</v>
      </c>
      <c r="D46" t="s">
        <v>12</v>
      </c>
      <c r="E46" t="s">
        <v>47</v>
      </c>
      <c r="F46" t="s">
        <v>48</v>
      </c>
      <c r="G46" t="s">
        <v>16</v>
      </c>
      <c r="H46" t="s">
        <v>8</v>
      </c>
      <c r="I46" s="1">
        <v>0</v>
      </c>
      <c r="J46" s="1">
        <v>1</v>
      </c>
      <c r="K46" s="1">
        <f t="shared" si="0"/>
        <v>1</v>
      </c>
    </row>
    <row r="47" spans="1:11" x14ac:dyDescent="0.4">
      <c r="A47" t="s">
        <v>9</v>
      </c>
      <c r="B47" t="s">
        <v>10</v>
      </c>
      <c r="C47" t="s">
        <v>11</v>
      </c>
      <c r="D47" t="s">
        <v>12</v>
      </c>
      <c r="E47" t="s">
        <v>49</v>
      </c>
      <c r="F47" t="s">
        <v>50</v>
      </c>
      <c r="G47" t="s">
        <v>16</v>
      </c>
      <c r="H47" t="s">
        <v>51</v>
      </c>
      <c r="I47" s="1">
        <v>1</v>
      </c>
      <c r="J47" s="1">
        <v>0</v>
      </c>
      <c r="K47" s="1">
        <f t="shared" si="0"/>
        <v>1</v>
      </c>
    </row>
    <row r="48" spans="1:11" hidden="1" x14ac:dyDescent="0.4">
      <c r="A48" t="s">
        <v>9</v>
      </c>
      <c r="B48" t="s">
        <v>10</v>
      </c>
      <c r="C48" t="s">
        <v>11</v>
      </c>
      <c r="D48" t="s">
        <v>12</v>
      </c>
      <c r="E48" t="s">
        <v>49</v>
      </c>
      <c r="F48" t="s">
        <v>50</v>
      </c>
      <c r="G48" t="s">
        <v>16</v>
      </c>
      <c r="H48" t="s">
        <v>8</v>
      </c>
      <c r="I48" s="1">
        <v>1</v>
      </c>
      <c r="J48" s="1">
        <v>0</v>
      </c>
      <c r="K48" s="1">
        <f t="shared" si="0"/>
        <v>1</v>
      </c>
    </row>
    <row r="49" spans="1:11" x14ac:dyDescent="0.4">
      <c r="A49" t="s">
        <v>9</v>
      </c>
      <c r="B49" t="s">
        <v>10</v>
      </c>
      <c r="C49" t="s">
        <v>11</v>
      </c>
      <c r="D49" t="s">
        <v>12</v>
      </c>
      <c r="E49" t="s">
        <v>52</v>
      </c>
      <c r="F49" t="s">
        <v>53</v>
      </c>
      <c r="G49" t="s">
        <v>16</v>
      </c>
      <c r="H49" t="s">
        <v>15</v>
      </c>
      <c r="I49" s="1">
        <v>1</v>
      </c>
      <c r="J49" s="1">
        <v>0</v>
      </c>
      <c r="K49" s="1">
        <f t="shared" si="0"/>
        <v>1</v>
      </c>
    </row>
    <row r="50" spans="1:11" hidden="1" x14ac:dyDescent="0.4">
      <c r="A50" t="s">
        <v>9</v>
      </c>
      <c r="B50" t="s">
        <v>10</v>
      </c>
      <c r="C50" t="s">
        <v>11</v>
      </c>
      <c r="D50" t="s">
        <v>12</v>
      </c>
      <c r="E50" t="s">
        <v>52</v>
      </c>
      <c r="F50" t="s">
        <v>53</v>
      </c>
      <c r="G50" t="s">
        <v>16</v>
      </c>
      <c r="H50" t="s">
        <v>8</v>
      </c>
      <c r="I50" s="1">
        <v>1</v>
      </c>
      <c r="J50" s="1">
        <v>0</v>
      </c>
      <c r="K50" s="1">
        <f t="shared" si="0"/>
        <v>1</v>
      </c>
    </row>
    <row r="51" spans="1:11" x14ac:dyDescent="0.4">
      <c r="A51" t="s">
        <v>9</v>
      </c>
      <c r="B51" t="s">
        <v>10</v>
      </c>
      <c r="C51" t="s">
        <v>11</v>
      </c>
      <c r="D51" t="s">
        <v>12</v>
      </c>
      <c r="E51" t="s">
        <v>54</v>
      </c>
      <c r="F51" t="s">
        <v>55</v>
      </c>
      <c r="G51" t="s">
        <v>16</v>
      </c>
      <c r="H51" t="s">
        <v>31</v>
      </c>
      <c r="I51" s="1">
        <v>1</v>
      </c>
      <c r="J51" s="1">
        <v>0</v>
      </c>
      <c r="K51" s="1">
        <f t="shared" si="0"/>
        <v>1</v>
      </c>
    </row>
    <row r="52" spans="1:11" hidden="1" x14ac:dyDescent="0.4">
      <c r="A52" t="s">
        <v>9</v>
      </c>
      <c r="B52" t="s">
        <v>10</v>
      </c>
      <c r="C52" t="s">
        <v>11</v>
      </c>
      <c r="D52" t="s">
        <v>12</v>
      </c>
      <c r="E52" t="s">
        <v>54</v>
      </c>
      <c r="F52" t="s">
        <v>55</v>
      </c>
      <c r="G52" t="s">
        <v>16</v>
      </c>
      <c r="H52" t="s">
        <v>8</v>
      </c>
      <c r="I52" s="1">
        <v>1</v>
      </c>
      <c r="J52" s="1">
        <v>0</v>
      </c>
      <c r="K52" s="1">
        <f t="shared" si="0"/>
        <v>1</v>
      </c>
    </row>
    <row r="53" spans="1:11" hidden="1" x14ac:dyDescent="0.4">
      <c r="A53" t="s">
        <v>9</v>
      </c>
      <c r="B53" t="s">
        <v>10</v>
      </c>
      <c r="C53" t="s">
        <v>11</v>
      </c>
      <c r="D53" t="s">
        <v>12</v>
      </c>
      <c r="E53" t="s">
        <v>56</v>
      </c>
      <c r="F53" t="s">
        <v>57</v>
      </c>
      <c r="G53" t="s">
        <v>16</v>
      </c>
      <c r="H53" t="s">
        <v>8</v>
      </c>
      <c r="I53" s="1">
        <v>1</v>
      </c>
      <c r="J53" s="1">
        <v>0</v>
      </c>
      <c r="K53" s="1">
        <f t="shared" si="0"/>
        <v>1</v>
      </c>
    </row>
    <row r="54" spans="1:11" x14ac:dyDescent="0.4">
      <c r="A54" t="s">
        <v>9</v>
      </c>
      <c r="B54" t="s">
        <v>10</v>
      </c>
      <c r="C54" t="s">
        <v>11</v>
      </c>
      <c r="D54" t="s">
        <v>12</v>
      </c>
      <c r="E54" t="s">
        <v>56</v>
      </c>
      <c r="F54" t="s">
        <v>57</v>
      </c>
      <c r="G54" t="s">
        <v>16</v>
      </c>
      <c r="H54" t="s">
        <v>23</v>
      </c>
      <c r="I54" s="1">
        <v>1</v>
      </c>
      <c r="J54" s="1">
        <v>0</v>
      </c>
      <c r="K54" s="1">
        <f t="shared" si="0"/>
        <v>1</v>
      </c>
    </row>
    <row r="55" spans="1:11" x14ac:dyDescent="0.4">
      <c r="A55" t="s">
        <v>9</v>
      </c>
      <c r="B55" t="s">
        <v>10</v>
      </c>
      <c r="C55" t="s">
        <v>11</v>
      </c>
      <c r="D55" t="s">
        <v>12</v>
      </c>
      <c r="E55" t="s">
        <v>58</v>
      </c>
      <c r="F55" t="s">
        <v>59</v>
      </c>
      <c r="G55" t="s">
        <v>16</v>
      </c>
      <c r="H55" t="s">
        <v>15</v>
      </c>
      <c r="I55" s="1">
        <v>1</v>
      </c>
      <c r="J55" s="1">
        <v>0</v>
      </c>
      <c r="K55" s="1">
        <f t="shared" si="0"/>
        <v>1</v>
      </c>
    </row>
    <row r="56" spans="1:11" hidden="1" x14ac:dyDescent="0.4">
      <c r="A56" t="s">
        <v>9</v>
      </c>
      <c r="B56" t="s">
        <v>10</v>
      </c>
      <c r="C56" t="s">
        <v>11</v>
      </c>
      <c r="D56" t="s">
        <v>12</v>
      </c>
      <c r="E56" t="s">
        <v>58</v>
      </c>
      <c r="F56" t="s">
        <v>59</v>
      </c>
      <c r="G56" t="s">
        <v>16</v>
      </c>
      <c r="H56" t="s">
        <v>8</v>
      </c>
      <c r="I56" s="1">
        <v>1</v>
      </c>
      <c r="J56" s="1">
        <v>0</v>
      </c>
      <c r="K56" s="1">
        <f t="shared" si="0"/>
        <v>1</v>
      </c>
    </row>
    <row r="57" spans="1:11" x14ac:dyDescent="0.4">
      <c r="A57" t="s">
        <v>9</v>
      </c>
      <c r="B57" t="s">
        <v>10</v>
      </c>
      <c r="C57" t="s">
        <v>11</v>
      </c>
      <c r="D57" t="s">
        <v>12</v>
      </c>
      <c r="E57" t="s">
        <v>60</v>
      </c>
      <c r="F57" t="s">
        <v>61</v>
      </c>
      <c r="G57" t="s">
        <v>16</v>
      </c>
      <c r="H57" t="s">
        <v>38</v>
      </c>
      <c r="I57" s="1">
        <v>1</v>
      </c>
      <c r="J57" s="1">
        <v>0</v>
      </c>
      <c r="K57" s="1">
        <f t="shared" si="0"/>
        <v>1</v>
      </c>
    </row>
    <row r="58" spans="1:11" hidden="1" x14ac:dyDescent="0.4">
      <c r="A58" t="s">
        <v>9</v>
      </c>
      <c r="B58" t="s">
        <v>10</v>
      </c>
      <c r="C58" t="s">
        <v>11</v>
      </c>
      <c r="D58" t="s">
        <v>12</v>
      </c>
      <c r="E58" t="s">
        <v>60</v>
      </c>
      <c r="F58" t="s">
        <v>61</v>
      </c>
      <c r="G58" t="s">
        <v>16</v>
      </c>
      <c r="H58" t="s">
        <v>8</v>
      </c>
      <c r="I58" s="1">
        <v>1</v>
      </c>
      <c r="J58" s="1">
        <v>0</v>
      </c>
      <c r="K58" s="1">
        <f t="shared" si="0"/>
        <v>1</v>
      </c>
    </row>
    <row r="59" spans="1:11" x14ac:dyDescent="0.4">
      <c r="A59" t="s">
        <v>9</v>
      </c>
      <c r="B59" t="s">
        <v>10</v>
      </c>
      <c r="C59" t="s">
        <v>11</v>
      </c>
      <c r="D59" t="s">
        <v>12</v>
      </c>
      <c r="E59" t="s">
        <v>62</v>
      </c>
      <c r="F59" t="s">
        <v>63</v>
      </c>
      <c r="G59" t="s">
        <v>16</v>
      </c>
      <c r="H59" t="s">
        <v>39</v>
      </c>
      <c r="I59" s="1">
        <v>1</v>
      </c>
      <c r="J59" s="1">
        <v>0</v>
      </c>
      <c r="K59" s="1">
        <f t="shared" si="0"/>
        <v>1</v>
      </c>
    </row>
    <row r="60" spans="1:11" hidden="1" x14ac:dyDescent="0.4">
      <c r="A60" t="s">
        <v>9</v>
      </c>
      <c r="B60" t="s">
        <v>10</v>
      </c>
      <c r="C60" t="s">
        <v>11</v>
      </c>
      <c r="D60" t="s">
        <v>12</v>
      </c>
      <c r="E60" t="s">
        <v>62</v>
      </c>
      <c r="F60" t="s">
        <v>63</v>
      </c>
      <c r="G60" t="s">
        <v>16</v>
      </c>
      <c r="H60" t="s">
        <v>8</v>
      </c>
      <c r="I60" s="1">
        <v>1</v>
      </c>
      <c r="J60" s="1">
        <v>0</v>
      </c>
      <c r="K60" s="1">
        <f t="shared" si="0"/>
        <v>1</v>
      </c>
    </row>
    <row r="61" spans="1:11" x14ac:dyDescent="0.4">
      <c r="A61" t="s">
        <v>9</v>
      </c>
      <c r="B61" t="s">
        <v>10</v>
      </c>
      <c r="C61" t="s">
        <v>11</v>
      </c>
      <c r="D61" t="s">
        <v>12</v>
      </c>
      <c r="E61" t="s">
        <v>64</v>
      </c>
      <c r="F61" t="s">
        <v>65</v>
      </c>
      <c r="G61" t="s">
        <v>16</v>
      </c>
      <c r="H61" t="s">
        <v>17</v>
      </c>
      <c r="I61" s="1">
        <v>2</v>
      </c>
      <c r="J61" s="1">
        <v>0</v>
      </c>
      <c r="K61" s="1">
        <f t="shared" si="0"/>
        <v>2</v>
      </c>
    </row>
    <row r="62" spans="1:11" x14ac:dyDescent="0.4">
      <c r="A62" t="s">
        <v>9</v>
      </c>
      <c r="B62" t="s">
        <v>10</v>
      </c>
      <c r="C62" t="s">
        <v>11</v>
      </c>
      <c r="D62" t="s">
        <v>12</v>
      </c>
      <c r="E62" t="s">
        <v>64</v>
      </c>
      <c r="F62" t="s">
        <v>65</v>
      </c>
      <c r="G62" t="s">
        <v>16</v>
      </c>
      <c r="H62" t="s">
        <v>15</v>
      </c>
      <c r="I62" s="1">
        <v>1</v>
      </c>
      <c r="J62" s="1">
        <v>0</v>
      </c>
      <c r="K62" s="1">
        <f t="shared" si="0"/>
        <v>1</v>
      </c>
    </row>
    <row r="63" spans="1:11" hidden="1" x14ac:dyDescent="0.4">
      <c r="A63" t="s">
        <v>9</v>
      </c>
      <c r="B63" t="s">
        <v>10</v>
      </c>
      <c r="C63" t="s">
        <v>11</v>
      </c>
      <c r="D63" t="s">
        <v>12</v>
      </c>
      <c r="E63" t="s">
        <v>64</v>
      </c>
      <c r="F63" t="s">
        <v>65</v>
      </c>
      <c r="G63" t="s">
        <v>16</v>
      </c>
      <c r="H63" t="s">
        <v>8</v>
      </c>
      <c r="I63" s="1">
        <v>4</v>
      </c>
      <c r="J63" s="1">
        <v>0</v>
      </c>
      <c r="K63" s="1">
        <f t="shared" si="0"/>
        <v>4</v>
      </c>
    </row>
    <row r="64" spans="1:11" x14ac:dyDescent="0.4">
      <c r="A64" t="s">
        <v>9</v>
      </c>
      <c r="B64" t="s">
        <v>10</v>
      </c>
      <c r="C64" t="s">
        <v>11</v>
      </c>
      <c r="D64" t="s">
        <v>12</v>
      </c>
      <c r="E64" t="s">
        <v>64</v>
      </c>
      <c r="F64" t="s">
        <v>65</v>
      </c>
      <c r="G64" t="s">
        <v>16</v>
      </c>
      <c r="H64" t="s">
        <v>23</v>
      </c>
      <c r="I64" s="1">
        <v>1</v>
      </c>
      <c r="J64" s="1">
        <v>0</v>
      </c>
      <c r="K64" s="1">
        <f t="shared" si="0"/>
        <v>1</v>
      </c>
    </row>
    <row r="65" spans="1:11" hidden="1" x14ac:dyDescent="0.4">
      <c r="A65" t="s">
        <v>9</v>
      </c>
      <c r="B65" t="s">
        <v>10</v>
      </c>
      <c r="C65" t="s">
        <v>11</v>
      </c>
      <c r="D65" t="s">
        <v>12</v>
      </c>
      <c r="E65" t="s">
        <v>66</v>
      </c>
      <c r="F65" t="s">
        <v>67</v>
      </c>
      <c r="G65" t="s">
        <v>16</v>
      </c>
      <c r="H65" t="s">
        <v>8</v>
      </c>
      <c r="I65" s="1">
        <v>2</v>
      </c>
      <c r="J65" s="1">
        <v>0</v>
      </c>
      <c r="K65" s="1">
        <f t="shared" si="0"/>
        <v>2</v>
      </c>
    </row>
    <row r="66" spans="1:11" x14ac:dyDescent="0.4">
      <c r="A66" t="s">
        <v>9</v>
      </c>
      <c r="B66" t="s">
        <v>10</v>
      </c>
      <c r="C66" t="s">
        <v>11</v>
      </c>
      <c r="D66" t="s">
        <v>12</v>
      </c>
      <c r="E66" t="s">
        <v>66</v>
      </c>
      <c r="F66" t="s">
        <v>67</v>
      </c>
      <c r="G66" t="s">
        <v>16</v>
      </c>
      <c r="H66" t="s">
        <v>23</v>
      </c>
      <c r="I66" s="1">
        <v>2</v>
      </c>
      <c r="J66" s="1">
        <v>0</v>
      </c>
      <c r="K66" s="1">
        <f t="shared" si="0"/>
        <v>2</v>
      </c>
    </row>
    <row r="67" spans="1:11" x14ac:dyDescent="0.4">
      <c r="A67" t="s">
        <v>9</v>
      </c>
      <c r="B67" t="s">
        <v>10</v>
      </c>
      <c r="C67" t="s">
        <v>11</v>
      </c>
      <c r="D67" t="s">
        <v>12</v>
      </c>
      <c r="E67" t="s">
        <v>68</v>
      </c>
      <c r="F67" t="s">
        <v>69</v>
      </c>
      <c r="G67" t="s">
        <v>16</v>
      </c>
      <c r="H67" t="s">
        <v>17</v>
      </c>
      <c r="I67" s="1">
        <v>1</v>
      </c>
      <c r="J67" s="1">
        <v>0</v>
      </c>
      <c r="K67" s="1">
        <f t="shared" ref="K67:K130" si="1">SUM(I67,J67)</f>
        <v>1</v>
      </c>
    </row>
    <row r="68" spans="1:11" hidden="1" x14ac:dyDescent="0.4">
      <c r="A68" t="s">
        <v>9</v>
      </c>
      <c r="B68" t="s">
        <v>10</v>
      </c>
      <c r="C68" t="s">
        <v>11</v>
      </c>
      <c r="D68" t="s">
        <v>12</v>
      </c>
      <c r="E68" t="s">
        <v>68</v>
      </c>
      <c r="F68" t="s">
        <v>69</v>
      </c>
      <c r="G68" t="s">
        <v>16</v>
      </c>
      <c r="H68" t="s">
        <v>8</v>
      </c>
      <c r="I68" s="1">
        <v>1</v>
      </c>
      <c r="J68" s="1">
        <v>0</v>
      </c>
      <c r="K68" s="1">
        <f t="shared" si="1"/>
        <v>1</v>
      </c>
    </row>
    <row r="69" spans="1:11" x14ac:dyDescent="0.4">
      <c r="A69" t="s">
        <v>9</v>
      </c>
      <c r="B69" t="s">
        <v>10</v>
      </c>
      <c r="C69" t="s">
        <v>11</v>
      </c>
      <c r="D69" t="s">
        <v>12</v>
      </c>
      <c r="E69" t="s">
        <v>70</v>
      </c>
      <c r="F69" t="s">
        <v>71</v>
      </c>
      <c r="G69" t="s">
        <v>16</v>
      </c>
      <c r="H69" t="s">
        <v>17</v>
      </c>
      <c r="I69" s="1">
        <v>2</v>
      </c>
      <c r="J69" s="1">
        <v>1</v>
      </c>
      <c r="K69" s="1">
        <f t="shared" si="1"/>
        <v>3</v>
      </c>
    </row>
    <row r="70" spans="1:11" hidden="1" x14ac:dyDescent="0.4">
      <c r="A70" t="s">
        <v>9</v>
      </c>
      <c r="B70" t="s">
        <v>10</v>
      </c>
      <c r="C70" t="s">
        <v>11</v>
      </c>
      <c r="D70" t="s">
        <v>12</v>
      </c>
      <c r="E70" t="s">
        <v>70</v>
      </c>
      <c r="F70" t="s">
        <v>71</v>
      </c>
      <c r="G70" t="s">
        <v>16</v>
      </c>
      <c r="H70" t="s">
        <v>8</v>
      </c>
      <c r="I70" s="1">
        <v>2</v>
      </c>
      <c r="J70" s="1">
        <v>1</v>
      </c>
      <c r="K70" s="1">
        <f t="shared" si="1"/>
        <v>3</v>
      </c>
    </row>
    <row r="71" spans="1:11" x14ac:dyDescent="0.4">
      <c r="A71" t="s">
        <v>9</v>
      </c>
      <c r="B71" t="s">
        <v>10</v>
      </c>
      <c r="C71" t="s">
        <v>11</v>
      </c>
      <c r="D71" t="s">
        <v>12</v>
      </c>
      <c r="E71" t="s">
        <v>72</v>
      </c>
      <c r="F71" t="s">
        <v>73</v>
      </c>
      <c r="G71" t="s">
        <v>16</v>
      </c>
      <c r="H71" t="s">
        <v>15</v>
      </c>
      <c r="I71" s="1">
        <v>0</v>
      </c>
      <c r="J71" s="1">
        <v>1</v>
      </c>
      <c r="K71" s="1">
        <f t="shared" si="1"/>
        <v>1</v>
      </c>
    </row>
    <row r="72" spans="1:11" hidden="1" x14ac:dyDescent="0.4">
      <c r="A72" t="s">
        <v>9</v>
      </c>
      <c r="B72" t="s">
        <v>10</v>
      </c>
      <c r="C72" t="s">
        <v>11</v>
      </c>
      <c r="D72" t="s">
        <v>12</v>
      </c>
      <c r="E72" t="s">
        <v>72</v>
      </c>
      <c r="F72" t="s">
        <v>73</v>
      </c>
      <c r="G72" t="s">
        <v>16</v>
      </c>
      <c r="H72" t="s">
        <v>8</v>
      </c>
      <c r="I72" s="1">
        <v>0</v>
      </c>
      <c r="J72" s="1">
        <v>1</v>
      </c>
      <c r="K72" s="1">
        <f t="shared" si="1"/>
        <v>1</v>
      </c>
    </row>
    <row r="73" spans="1:11" x14ac:dyDescent="0.4">
      <c r="A73" t="s">
        <v>9</v>
      </c>
      <c r="B73" t="s">
        <v>10</v>
      </c>
      <c r="C73" t="s">
        <v>11</v>
      </c>
      <c r="D73" t="s">
        <v>12</v>
      </c>
      <c r="E73" t="s">
        <v>74</v>
      </c>
      <c r="F73" t="s">
        <v>75</v>
      </c>
      <c r="G73" t="s">
        <v>16</v>
      </c>
      <c r="H73" t="s">
        <v>17</v>
      </c>
      <c r="I73" s="1">
        <v>0</v>
      </c>
      <c r="J73" s="1">
        <v>1</v>
      </c>
      <c r="K73" s="1">
        <f t="shared" si="1"/>
        <v>1</v>
      </c>
    </row>
    <row r="74" spans="1:11" hidden="1" x14ac:dyDescent="0.4">
      <c r="A74" t="s">
        <v>9</v>
      </c>
      <c r="B74" t="s">
        <v>10</v>
      </c>
      <c r="C74" t="s">
        <v>11</v>
      </c>
      <c r="D74" t="s">
        <v>12</v>
      </c>
      <c r="E74" t="s">
        <v>74</v>
      </c>
      <c r="F74" t="s">
        <v>75</v>
      </c>
      <c r="G74" t="s">
        <v>16</v>
      </c>
      <c r="H74" t="s">
        <v>8</v>
      </c>
      <c r="I74" s="1">
        <v>0</v>
      </c>
      <c r="J74" s="1">
        <v>1</v>
      </c>
      <c r="K74" s="1">
        <f t="shared" si="1"/>
        <v>1</v>
      </c>
    </row>
    <row r="75" spans="1:11" x14ac:dyDescent="0.4">
      <c r="A75" t="s">
        <v>9</v>
      </c>
      <c r="B75" t="s">
        <v>10</v>
      </c>
      <c r="C75" t="s">
        <v>11</v>
      </c>
      <c r="D75" t="s">
        <v>12</v>
      </c>
      <c r="E75" t="s">
        <v>76</v>
      </c>
      <c r="F75" t="s">
        <v>77</v>
      </c>
      <c r="G75" t="s">
        <v>16</v>
      </c>
      <c r="H75" t="s">
        <v>17</v>
      </c>
      <c r="I75" s="1">
        <v>1</v>
      </c>
      <c r="J75" s="1">
        <v>0</v>
      </c>
      <c r="K75" s="1">
        <f t="shared" si="1"/>
        <v>1</v>
      </c>
    </row>
    <row r="76" spans="1:11" hidden="1" x14ac:dyDescent="0.4">
      <c r="A76" t="s">
        <v>9</v>
      </c>
      <c r="B76" t="s">
        <v>10</v>
      </c>
      <c r="C76" t="s">
        <v>11</v>
      </c>
      <c r="D76" t="s">
        <v>12</v>
      </c>
      <c r="E76" t="s">
        <v>76</v>
      </c>
      <c r="F76" t="s">
        <v>77</v>
      </c>
      <c r="G76" t="s">
        <v>16</v>
      </c>
      <c r="H76" t="s">
        <v>8</v>
      </c>
      <c r="I76" s="1">
        <v>3</v>
      </c>
      <c r="J76" s="1">
        <v>0</v>
      </c>
      <c r="K76" s="1">
        <f t="shared" si="1"/>
        <v>3</v>
      </c>
    </row>
    <row r="77" spans="1:11" x14ac:dyDescent="0.4">
      <c r="A77" t="s">
        <v>9</v>
      </c>
      <c r="B77" t="s">
        <v>10</v>
      </c>
      <c r="C77" t="s">
        <v>11</v>
      </c>
      <c r="D77" t="s">
        <v>12</v>
      </c>
      <c r="E77" t="s">
        <v>76</v>
      </c>
      <c r="F77" t="s">
        <v>77</v>
      </c>
      <c r="G77" t="s">
        <v>16</v>
      </c>
      <c r="H77" t="s">
        <v>23</v>
      </c>
      <c r="I77" s="1">
        <v>2</v>
      </c>
      <c r="J77" s="1">
        <v>0</v>
      </c>
      <c r="K77" s="1">
        <f t="shared" si="1"/>
        <v>2</v>
      </c>
    </row>
    <row r="78" spans="1:11" hidden="1" x14ac:dyDescent="0.4">
      <c r="A78" t="s">
        <v>9</v>
      </c>
      <c r="B78" t="s">
        <v>10</v>
      </c>
      <c r="C78" t="s">
        <v>11</v>
      </c>
      <c r="D78" t="s">
        <v>12</v>
      </c>
      <c r="E78" t="s">
        <v>78</v>
      </c>
      <c r="F78" t="s">
        <v>79</v>
      </c>
      <c r="G78" t="s">
        <v>16</v>
      </c>
      <c r="H78" t="s">
        <v>8</v>
      </c>
      <c r="I78" s="1">
        <v>1</v>
      </c>
      <c r="J78" s="1">
        <v>0</v>
      </c>
      <c r="K78" s="1">
        <f t="shared" si="1"/>
        <v>1</v>
      </c>
    </row>
    <row r="79" spans="1:11" x14ac:dyDescent="0.4">
      <c r="A79" t="s">
        <v>9</v>
      </c>
      <c r="B79" t="s">
        <v>10</v>
      </c>
      <c r="C79" t="s">
        <v>11</v>
      </c>
      <c r="D79" t="s">
        <v>12</v>
      </c>
      <c r="E79" t="s">
        <v>78</v>
      </c>
      <c r="F79" t="s">
        <v>79</v>
      </c>
      <c r="G79" t="s">
        <v>16</v>
      </c>
      <c r="H79" t="s">
        <v>23</v>
      </c>
      <c r="I79" s="1">
        <v>1</v>
      </c>
      <c r="J79" s="1">
        <v>0</v>
      </c>
      <c r="K79" s="1">
        <f t="shared" si="1"/>
        <v>1</v>
      </c>
    </row>
    <row r="80" spans="1:11" x14ac:dyDescent="0.4">
      <c r="A80" t="s">
        <v>9</v>
      </c>
      <c r="B80" t="s">
        <v>10</v>
      </c>
      <c r="C80" t="s">
        <v>11</v>
      </c>
      <c r="D80" t="s">
        <v>12</v>
      </c>
      <c r="E80" t="s">
        <v>80</v>
      </c>
      <c r="F80" t="s">
        <v>81</v>
      </c>
      <c r="G80" t="s">
        <v>16</v>
      </c>
      <c r="H80" t="s">
        <v>38</v>
      </c>
      <c r="I80" s="1">
        <v>1</v>
      </c>
      <c r="J80" s="1">
        <v>0</v>
      </c>
      <c r="K80" s="1">
        <f t="shared" si="1"/>
        <v>1</v>
      </c>
    </row>
    <row r="81" spans="1:11" x14ac:dyDescent="0.4">
      <c r="A81" t="s">
        <v>9</v>
      </c>
      <c r="B81" t="s">
        <v>10</v>
      </c>
      <c r="C81" t="s">
        <v>11</v>
      </c>
      <c r="D81" t="s">
        <v>12</v>
      </c>
      <c r="E81" t="s">
        <v>80</v>
      </c>
      <c r="F81" t="s">
        <v>81</v>
      </c>
      <c r="G81" t="s">
        <v>16</v>
      </c>
      <c r="H81" t="s">
        <v>18</v>
      </c>
      <c r="I81" s="1">
        <v>1</v>
      </c>
      <c r="J81" s="1">
        <v>0</v>
      </c>
      <c r="K81" s="1">
        <f t="shared" si="1"/>
        <v>1</v>
      </c>
    </row>
    <row r="82" spans="1:11" hidden="1" x14ac:dyDescent="0.4">
      <c r="A82" t="s">
        <v>9</v>
      </c>
      <c r="B82" t="s">
        <v>10</v>
      </c>
      <c r="C82" t="s">
        <v>11</v>
      </c>
      <c r="D82" t="s">
        <v>12</v>
      </c>
      <c r="E82" t="s">
        <v>80</v>
      </c>
      <c r="F82" t="s">
        <v>81</v>
      </c>
      <c r="G82" t="s">
        <v>16</v>
      </c>
      <c r="H82" t="s">
        <v>8</v>
      </c>
      <c r="I82" s="1">
        <v>5</v>
      </c>
      <c r="J82" s="1">
        <v>0</v>
      </c>
      <c r="K82" s="1">
        <f t="shared" si="1"/>
        <v>5</v>
      </c>
    </row>
    <row r="83" spans="1:11" x14ac:dyDescent="0.4">
      <c r="A83" t="s">
        <v>9</v>
      </c>
      <c r="B83" t="s">
        <v>10</v>
      </c>
      <c r="C83" t="s">
        <v>11</v>
      </c>
      <c r="D83" t="s">
        <v>12</v>
      </c>
      <c r="E83" t="s">
        <v>80</v>
      </c>
      <c r="F83" t="s">
        <v>81</v>
      </c>
      <c r="G83" t="s">
        <v>16</v>
      </c>
      <c r="H83" t="s">
        <v>23</v>
      </c>
      <c r="I83" s="1">
        <v>3</v>
      </c>
      <c r="J83" s="1">
        <v>0</v>
      </c>
      <c r="K83" s="1">
        <f t="shared" si="1"/>
        <v>3</v>
      </c>
    </row>
    <row r="84" spans="1:11" x14ac:dyDescent="0.4">
      <c r="A84" t="s">
        <v>9</v>
      </c>
      <c r="B84" t="s">
        <v>10</v>
      </c>
      <c r="C84" t="s">
        <v>11</v>
      </c>
      <c r="D84" t="s">
        <v>12</v>
      </c>
      <c r="E84" t="s">
        <v>82</v>
      </c>
      <c r="F84" t="s">
        <v>83</v>
      </c>
      <c r="G84" t="s">
        <v>16</v>
      </c>
      <c r="H84" t="s">
        <v>15</v>
      </c>
      <c r="I84" s="1">
        <v>1</v>
      </c>
      <c r="J84" s="1">
        <v>0</v>
      </c>
      <c r="K84" s="1">
        <f t="shared" si="1"/>
        <v>1</v>
      </c>
    </row>
    <row r="85" spans="1:11" hidden="1" x14ac:dyDescent="0.4">
      <c r="A85" t="s">
        <v>9</v>
      </c>
      <c r="B85" t="s">
        <v>10</v>
      </c>
      <c r="C85" t="s">
        <v>11</v>
      </c>
      <c r="D85" t="s">
        <v>12</v>
      </c>
      <c r="E85" t="s">
        <v>82</v>
      </c>
      <c r="F85" t="s">
        <v>83</v>
      </c>
      <c r="G85" t="s">
        <v>16</v>
      </c>
      <c r="H85" t="s">
        <v>8</v>
      </c>
      <c r="I85" s="1">
        <v>1</v>
      </c>
      <c r="J85" s="1">
        <v>0</v>
      </c>
      <c r="K85" s="1">
        <f t="shared" si="1"/>
        <v>1</v>
      </c>
    </row>
    <row r="86" spans="1:11" x14ac:dyDescent="0.4">
      <c r="A86" t="s">
        <v>9</v>
      </c>
      <c r="B86" t="s">
        <v>10</v>
      </c>
      <c r="C86" t="s">
        <v>11</v>
      </c>
      <c r="D86" t="s">
        <v>12</v>
      </c>
      <c r="E86" t="s">
        <v>84</v>
      </c>
      <c r="F86" t="s">
        <v>85</v>
      </c>
      <c r="G86" t="s">
        <v>16</v>
      </c>
      <c r="H86" t="s">
        <v>18</v>
      </c>
      <c r="I86" s="1">
        <v>1</v>
      </c>
      <c r="J86" s="1">
        <v>0</v>
      </c>
      <c r="K86" s="1">
        <f t="shared" si="1"/>
        <v>1</v>
      </c>
    </row>
    <row r="87" spans="1:11" hidden="1" x14ac:dyDescent="0.4">
      <c r="A87" t="s">
        <v>9</v>
      </c>
      <c r="B87" t="s">
        <v>10</v>
      </c>
      <c r="C87" t="s">
        <v>11</v>
      </c>
      <c r="D87" t="s">
        <v>12</v>
      </c>
      <c r="E87" t="s">
        <v>84</v>
      </c>
      <c r="F87" t="s">
        <v>85</v>
      </c>
      <c r="G87" t="s">
        <v>16</v>
      </c>
      <c r="H87" t="s">
        <v>8</v>
      </c>
      <c r="I87" s="1">
        <v>1</v>
      </c>
      <c r="J87" s="1">
        <v>0</v>
      </c>
      <c r="K87" s="1">
        <f t="shared" si="1"/>
        <v>1</v>
      </c>
    </row>
    <row r="88" spans="1:11" x14ac:dyDescent="0.4">
      <c r="A88" t="s">
        <v>9</v>
      </c>
      <c r="B88" t="s">
        <v>10</v>
      </c>
      <c r="C88" t="s">
        <v>11</v>
      </c>
      <c r="D88" t="s">
        <v>12</v>
      </c>
      <c r="E88" t="s">
        <v>86</v>
      </c>
      <c r="F88" t="s">
        <v>87</v>
      </c>
      <c r="G88" t="s">
        <v>16</v>
      </c>
      <c r="H88" t="s">
        <v>17</v>
      </c>
      <c r="I88" s="1">
        <v>0</v>
      </c>
      <c r="J88" s="1">
        <v>1</v>
      </c>
      <c r="K88" s="1">
        <f t="shared" si="1"/>
        <v>1</v>
      </c>
    </row>
    <row r="89" spans="1:11" hidden="1" x14ac:dyDescent="0.4">
      <c r="A89" t="s">
        <v>9</v>
      </c>
      <c r="B89" t="s">
        <v>10</v>
      </c>
      <c r="C89" t="s">
        <v>11</v>
      </c>
      <c r="D89" t="s">
        <v>12</v>
      </c>
      <c r="E89" t="s">
        <v>86</v>
      </c>
      <c r="F89" t="s">
        <v>87</v>
      </c>
      <c r="G89" t="s">
        <v>16</v>
      </c>
      <c r="H89" t="s">
        <v>8</v>
      </c>
      <c r="I89" s="1">
        <v>0</v>
      </c>
      <c r="J89" s="1">
        <v>1</v>
      </c>
      <c r="K89" s="1">
        <f t="shared" si="1"/>
        <v>1</v>
      </c>
    </row>
    <row r="90" spans="1:11" x14ac:dyDescent="0.4">
      <c r="A90" t="s">
        <v>9</v>
      </c>
      <c r="B90" t="s">
        <v>10</v>
      </c>
      <c r="C90" t="s">
        <v>11</v>
      </c>
      <c r="D90" t="s">
        <v>12</v>
      </c>
      <c r="E90" t="s">
        <v>88</v>
      </c>
      <c r="F90" t="s">
        <v>89</v>
      </c>
      <c r="G90" t="s">
        <v>16</v>
      </c>
      <c r="H90" t="s">
        <v>17</v>
      </c>
      <c r="I90" s="1">
        <v>0</v>
      </c>
      <c r="J90" s="1">
        <v>1</v>
      </c>
      <c r="K90" s="1">
        <f t="shared" si="1"/>
        <v>1</v>
      </c>
    </row>
    <row r="91" spans="1:11" hidden="1" x14ac:dyDescent="0.4">
      <c r="A91" t="s">
        <v>9</v>
      </c>
      <c r="B91" t="s">
        <v>10</v>
      </c>
      <c r="C91" t="s">
        <v>11</v>
      </c>
      <c r="D91" t="s">
        <v>12</v>
      </c>
      <c r="E91" t="s">
        <v>88</v>
      </c>
      <c r="F91" t="s">
        <v>89</v>
      </c>
      <c r="G91" t="s">
        <v>16</v>
      </c>
      <c r="H91" t="s">
        <v>8</v>
      </c>
      <c r="I91" s="1">
        <v>1</v>
      </c>
      <c r="J91" s="1">
        <v>1</v>
      </c>
      <c r="K91" s="1">
        <f t="shared" si="1"/>
        <v>2</v>
      </c>
    </row>
    <row r="92" spans="1:11" x14ac:dyDescent="0.4">
      <c r="A92" t="s">
        <v>9</v>
      </c>
      <c r="B92" t="s">
        <v>10</v>
      </c>
      <c r="C92" t="s">
        <v>11</v>
      </c>
      <c r="D92" t="s">
        <v>12</v>
      </c>
      <c r="E92" t="s">
        <v>88</v>
      </c>
      <c r="F92" t="s">
        <v>89</v>
      </c>
      <c r="G92" t="s">
        <v>16</v>
      </c>
      <c r="H92" t="s">
        <v>23</v>
      </c>
      <c r="I92" s="1">
        <v>1</v>
      </c>
      <c r="J92" s="1">
        <v>0</v>
      </c>
      <c r="K92" s="1">
        <f t="shared" si="1"/>
        <v>1</v>
      </c>
    </row>
    <row r="93" spans="1:11" x14ac:dyDescent="0.4">
      <c r="A93" t="s">
        <v>9</v>
      </c>
      <c r="B93" t="s">
        <v>10</v>
      </c>
      <c r="C93" t="s">
        <v>11</v>
      </c>
      <c r="D93" t="s">
        <v>12</v>
      </c>
      <c r="E93" t="s">
        <v>90</v>
      </c>
      <c r="F93" t="s">
        <v>91</v>
      </c>
      <c r="G93" t="s">
        <v>16</v>
      </c>
      <c r="H93" t="s">
        <v>17</v>
      </c>
      <c r="I93" s="1">
        <v>0</v>
      </c>
      <c r="J93" s="1">
        <v>1</v>
      </c>
      <c r="K93" s="1">
        <f t="shared" si="1"/>
        <v>1</v>
      </c>
    </row>
    <row r="94" spans="1:11" hidden="1" x14ac:dyDescent="0.4">
      <c r="A94" t="s">
        <v>9</v>
      </c>
      <c r="B94" t="s">
        <v>10</v>
      </c>
      <c r="C94" t="s">
        <v>11</v>
      </c>
      <c r="D94" t="s">
        <v>12</v>
      </c>
      <c r="E94" t="s">
        <v>90</v>
      </c>
      <c r="F94" t="s">
        <v>91</v>
      </c>
      <c r="G94" t="s">
        <v>16</v>
      </c>
      <c r="H94" t="s">
        <v>8</v>
      </c>
      <c r="I94" s="1">
        <v>0</v>
      </c>
      <c r="J94" s="1">
        <v>1</v>
      </c>
      <c r="K94" s="1">
        <f t="shared" si="1"/>
        <v>1</v>
      </c>
    </row>
    <row r="95" spans="1:11" x14ac:dyDescent="0.4">
      <c r="A95" t="s">
        <v>9</v>
      </c>
      <c r="B95" t="s">
        <v>10</v>
      </c>
      <c r="C95" t="s">
        <v>11</v>
      </c>
      <c r="D95" t="s">
        <v>12</v>
      </c>
      <c r="E95" t="s">
        <v>92</v>
      </c>
      <c r="F95" t="s">
        <v>93</v>
      </c>
      <c r="G95" t="s">
        <v>16</v>
      </c>
      <c r="H95" t="s">
        <v>15</v>
      </c>
      <c r="I95" s="1">
        <v>1</v>
      </c>
      <c r="J95" s="1">
        <v>0</v>
      </c>
      <c r="K95" s="1">
        <f t="shared" si="1"/>
        <v>1</v>
      </c>
    </row>
    <row r="96" spans="1:11" hidden="1" x14ac:dyDescent="0.4">
      <c r="A96" t="s">
        <v>9</v>
      </c>
      <c r="B96" t="s">
        <v>10</v>
      </c>
      <c r="C96" t="s">
        <v>11</v>
      </c>
      <c r="D96" t="s">
        <v>12</v>
      </c>
      <c r="E96" t="s">
        <v>92</v>
      </c>
      <c r="F96" t="s">
        <v>93</v>
      </c>
      <c r="G96" t="s">
        <v>16</v>
      </c>
      <c r="H96" t="s">
        <v>8</v>
      </c>
      <c r="I96" s="1">
        <v>1</v>
      </c>
      <c r="J96" s="1">
        <v>0</v>
      </c>
      <c r="K96" s="1">
        <f t="shared" si="1"/>
        <v>1</v>
      </c>
    </row>
    <row r="97" spans="1:11" x14ac:dyDescent="0.4">
      <c r="A97" t="s">
        <v>9</v>
      </c>
      <c r="B97" t="s">
        <v>10</v>
      </c>
      <c r="C97" t="s">
        <v>11</v>
      </c>
      <c r="D97" t="s">
        <v>12</v>
      </c>
      <c r="E97" t="s">
        <v>94</v>
      </c>
      <c r="F97" t="s">
        <v>95</v>
      </c>
      <c r="G97" t="s">
        <v>16</v>
      </c>
      <c r="H97" t="s">
        <v>17</v>
      </c>
      <c r="I97" s="1">
        <v>0</v>
      </c>
      <c r="J97" s="1">
        <v>1</v>
      </c>
      <c r="K97" s="1">
        <f t="shared" si="1"/>
        <v>1</v>
      </c>
    </row>
    <row r="98" spans="1:11" hidden="1" x14ac:dyDescent="0.4">
      <c r="A98" t="s">
        <v>9</v>
      </c>
      <c r="B98" t="s">
        <v>10</v>
      </c>
      <c r="C98" t="s">
        <v>11</v>
      </c>
      <c r="D98" t="s">
        <v>12</v>
      </c>
      <c r="E98" t="s">
        <v>94</v>
      </c>
      <c r="F98" t="s">
        <v>95</v>
      </c>
      <c r="G98" t="s">
        <v>16</v>
      </c>
      <c r="H98" t="s">
        <v>8</v>
      </c>
      <c r="I98" s="1">
        <v>0</v>
      </c>
      <c r="J98" s="1">
        <v>1</v>
      </c>
      <c r="K98" s="1">
        <f t="shared" si="1"/>
        <v>1</v>
      </c>
    </row>
    <row r="99" spans="1:11" x14ac:dyDescent="0.4">
      <c r="A99" t="s">
        <v>9</v>
      </c>
      <c r="B99" t="s">
        <v>10</v>
      </c>
      <c r="C99" t="s">
        <v>11</v>
      </c>
      <c r="D99" t="s">
        <v>12</v>
      </c>
      <c r="E99" t="s">
        <v>96</v>
      </c>
      <c r="F99" t="s">
        <v>97</v>
      </c>
      <c r="G99" t="s">
        <v>16</v>
      </c>
      <c r="H99" t="s">
        <v>15</v>
      </c>
      <c r="I99" s="1">
        <v>1</v>
      </c>
      <c r="J99" s="1">
        <v>0</v>
      </c>
      <c r="K99" s="1">
        <f t="shared" si="1"/>
        <v>1</v>
      </c>
    </row>
    <row r="100" spans="1:11" hidden="1" x14ac:dyDescent="0.4">
      <c r="A100" t="s">
        <v>9</v>
      </c>
      <c r="B100" t="s">
        <v>10</v>
      </c>
      <c r="C100" t="s">
        <v>11</v>
      </c>
      <c r="D100" t="s">
        <v>12</v>
      </c>
      <c r="E100" t="s">
        <v>96</v>
      </c>
      <c r="F100" t="s">
        <v>97</v>
      </c>
      <c r="G100" t="s">
        <v>16</v>
      </c>
      <c r="H100" t="s">
        <v>8</v>
      </c>
      <c r="I100" s="1">
        <v>1</v>
      </c>
      <c r="J100" s="1">
        <v>0</v>
      </c>
      <c r="K100" s="1">
        <f t="shared" si="1"/>
        <v>1</v>
      </c>
    </row>
    <row r="101" spans="1:11" x14ac:dyDescent="0.4">
      <c r="A101" t="s">
        <v>9</v>
      </c>
      <c r="B101" t="s">
        <v>10</v>
      </c>
      <c r="C101" t="s">
        <v>11</v>
      </c>
      <c r="D101" t="s">
        <v>12</v>
      </c>
      <c r="E101" t="s">
        <v>98</v>
      </c>
      <c r="F101" t="s">
        <v>99</v>
      </c>
      <c r="G101" t="s">
        <v>16</v>
      </c>
      <c r="H101" t="s">
        <v>17</v>
      </c>
      <c r="I101" s="1">
        <v>1</v>
      </c>
      <c r="J101" s="1">
        <v>5</v>
      </c>
      <c r="K101" s="1">
        <f t="shared" si="1"/>
        <v>6</v>
      </c>
    </row>
    <row r="102" spans="1:11" hidden="1" x14ac:dyDescent="0.4">
      <c r="A102" t="s">
        <v>9</v>
      </c>
      <c r="B102" t="s">
        <v>10</v>
      </c>
      <c r="C102" t="s">
        <v>11</v>
      </c>
      <c r="D102" t="s">
        <v>12</v>
      </c>
      <c r="E102" t="s">
        <v>98</v>
      </c>
      <c r="F102" t="s">
        <v>99</v>
      </c>
      <c r="G102" t="s">
        <v>16</v>
      </c>
      <c r="H102" t="s">
        <v>8</v>
      </c>
      <c r="I102" s="1">
        <v>1</v>
      </c>
      <c r="J102" s="1">
        <v>5</v>
      </c>
      <c r="K102" s="1">
        <f t="shared" si="1"/>
        <v>6</v>
      </c>
    </row>
    <row r="103" spans="1:11" hidden="1" x14ac:dyDescent="0.4">
      <c r="A103" t="s">
        <v>9</v>
      </c>
      <c r="B103" t="s">
        <v>10</v>
      </c>
      <c r="C103" t="s">
        <v>11</v>
      </c>
      <c r="D103" t="s">
        <v>12</v>
      </c>
      <c r="E103" t="s">
        <v>100</v>
      </c>
      <c r="F103" t="s">
        <v>101</v>
      </c>
      <c r="G103" t="s">
        <v>16</v>
      </c>
      <c r="H103" t="s">
        <v>8</v>
      </c>
      <c r="I103" s="1">
        <v>1</v>
      </c>
      <c r="J103" s="1">
        <v>0</v>
      </c>
      <c r="K103" s="1">
        <f t="shared" si="1"/>
        <v>1</v>
      </c>
    </row>
    <row r="104" spans="1:11" x14ac:dyDescent="0.4">
      <c r="A104" t="s">
        <v>9</v>
      </c>
      <c r="B104" t="s">
        <v>10</v>
      </c>
      <c r="C104" t="s">
        <v>11</v>
      </c>
      <c r="D104" t="s">
        <v>12</v>
      </c>
      <c r="E104" t="s">
        <v>100</v>
      </c>
      <c r="F104" t="s">
        <v>101</v>
      </c>
      <c r="G104" t="s">
        <v>16</v>
      </c>
      <c r="H104" t="s">
        <v>23</v>
      </c>
      <c r="I104" s="1">
        <v>1</v>
      </c>
      <c r="J104" s="1">
        <v>0</v>
      </c>
      <c r="K104" s="1">
        <f t="shared" si="1"/>
        <v>1</v>
      </c>
    </row>
    <row r="105" spans="1:11" x14ac:dyDescent="0.4">
      <c r="A105" t="s">
        <v>9</v>
      </c>
      <c r="B105" t="s">
        <v>10</v>
      </c>
      <c r="C105" t="s">
        <v>11</v>
      </c>
      <c r="D105" t="s">
        <v>12</v>
      </c>
      <c r="E105" t="s">
        <v>102</v>
      </c>
      <c r="F105" t="s">
        <v>103</v>
      </c>
      <c r="G105" t="s">
        <v>16</v>
      </c>
      <c r="H105" t="s">
        <v>34</v>
      </c>
      <c r="I105" s="1">
        <v>1</v>
      </c>
      <c r="J105" s="1">
        <v>0</v>
      </c>
      <c r="K105" s="1">
        <f t="shared" si="1"/>
        <v>1</v>
      </c>
    </row>
    <row r="106" spans="1:11" x14ac:dyDescent="0.4">
      <c r="A106" t="s">
        <v>9</v>
      </c>
      <c r="B106" t="s">
        <v>10</v>
      </c>
      <c r="C106" t="s">
        <v>11</v>
      </c>
      <c r="D106" t="s">
        <v>12</v>
      </c>
      <c r="E106" t="s">
        <v>102</v>
      </c>
      <c r="F106" t="s">
        <v>103</v>
      </c>
      <c r="G106" t="s">
        <v>16</v>
      </c>
      <c r="H106" t="s">
        <v>17</v>
      </c>
      <c r="I106" s="1">
        <v>0</v>
      </c>
      <c r="J106" s="1">
        <v>1</v>
      </c>
      <c r="K106" s="1">
        <f t="shared" si="1"/>
        <v>1</v>
      </c>
    </row>
    <row r="107" spans="1:11" hidden="1" x14ac:dyDescent="0.4">
      <c r="A107" t="s">
        <v>9</v>
      </c>
      <c r="B107" t="s">
        <v>10</v>
      </c>
      <c r="C107" t="s">
        <v>11</v>
      </c>
      <c r="D107" t="s">
        <v>12</v>
      </c>
      <c r="E107" t="s">
        <v>102</v>
      </c>
      <c r="F107" t="s">
        <v>103</v>
      </c>
      <c r="G107" t="s">
        <v>16</v>
      </c>
      <c r="H107" t="s">
        <v>8</v>
      </c>
      <c r="I107" s="1">
        <v>1</v>
      </c>
      <c r="J107" s="1">
        <v>1</v>
      </c>
      <c r="K107" s="1">
        <f t="shared" si="1"/>
        <v>2</v>
      </c>
    </row>
    <row r="108" spans="1:11" x14ac:dyDescent="0.4">
      <c r="A108" t="s">
        <v>9</v>
      </c>
      <c r="B108" t="s">
        <v>10</v>
      </c>
      <c r="C108" t="s">
        <v>11</v>
      </c>
      <c r="D108" t="s">
        <v>12</v>
      </c>
      <c r="E108" t="s">
        <v>104</v>
      </c>
      <c r="F108" t="s">
        <v>105</v>
      </c>
      <c r="G108" t="s">
        <v>16</v>
      </c>
      <c r="H108" t="s">
        <v>17</v>
      </c>
      <c r="I108" s="1">
        <v>0</v>
      </c>
      <c r="J108" s="1">
        <v>1</v>
      </c>
      <c r="K108" s="1">
        <f t="shared" si="1"/>
        <v>1</v>
      </c>
    </row>
    <row r="109" spans="1:11" x14ac:dyDescent="0.4">
      <c r="A109" t="s">
        <v>9</v>
      </c>
      <c r="B109" t="s">
        <v>10</v>
      </c>
      <c r="C109" t="s">
        <v>11</v>
      </c>
      <c r="D109" t="s">
        <v>12</v>
      </c>
      <c r="E109" t="s">
        <v>104</v>
      </c>
      <c r="F109" t="s">
        <v>105</v>
      </c>
      <c r="G109" t="s">
        <v>16</v>
      </c>
      <c r="H109" t="s">
        <v>39</v>
      </c>
      <c r="I109" s="1">
        <v>1</v>
      </c>
      <c r="J109" s="1">
        <v>0</v>
      </c>
      <c r="K109" s="1">
        <f t="shared" si="1"/>
        <v>1</v>
      </c>
    </row>
    <row r="110" spans="1:11" x14ac:dyDescent="0.4">
      <c r="A110" t="s">
        <v>9</v>
      </c>
      <c r="B110" t="s">
        <v>10</v>
      </c>
      <c r="C110" t="s">
        <v>11</v>
      </c>
      <c r="D110" t="s">
        <v>12</v>
      </c>
      <c r="E110" t="s">
        <v>104</v>
      </c>
      <c r="F110" t="s">
        <v>105</v>
      </c>
      <c r="G110" t="s">
        <v>16</v>
      </c>
      <c r="H110" t="s">
        <v>51</v>
      </c>
      <c r="I110" s="1">
        <v>1</v>
      </c>
      <c r="J110" s="1">
        <v>0</v>
      </c>
      <c r="K110" s="1">
        <f t="shared" si="1"/>
        <v>1</v>
      </c>
    </row>
    <row r="111" spans="1:11" hidden="1" x14ac:dyDescent="0.4">
      <c r="A111" t="s">
        <v>9</v>
      </c>
      <c r="B111" t="s">
        <v>10</v>
      </c>
      <c r="C111" t="s">
        <v>11</v>
      </c>
      <c r="D111" t="s">
        <v>12</v>
      </c>
      <c r="E111" t="s">
        <v>104</v>
      </c>
      <c r="F111" t="s">
        <v>105</v>
      </c>
      <c r="G111" t="s">
        <v>16</v>
      </c>
      <c r="H111" t="s">
        <v>8</v>
      </c>
      <c r="I111" s="1">
        <v>2</v>
      </c>
      <c r="J111" s="1">
        <v>1</v>
      </c>
      <c r="K111" s="1">
        <f t="shared" si="1"/>
        <v>3</v>
      </c>
    </row>
    <row r="112" spans="1:11" x14ac:dyDescent="0.4">
      <c r="A112" t="s">
        <v>9</v>
      </c>
      <c r="B112" t="s">
        <v>10</v>
      </c>
      <c r="C112" t="s">
        <v>11</v>
      </c>
      <c r="D112" t="s">
        <v>12</v>
      </c>
      <c r="E112" t="s">
        <v>106</v>
      </c>
      <c r="F112" t="s">
        <v>107</v>
      </c>
      <c r="G112" t="s">
        <v>16</v>
      </c>
      <c r="H112" t="s">
        <v>17</v>
      </c>
      <c r="I112" s="1">
        <v>0</v>
      </c>
      <c r="J112" s="1">
        <v>1</v>
      </c>
      <c r="K112" s="1">
        <f t="shared" si="1"/>
        <v>1</v>
      </c>
    </row>
    <row r="113" spans="1:11" x14ac:dyDescent="0.4">
      <c r="A113" t="s">
        <v>9</v>
      </c>
      <c r="B113" t="s">
        <v>10</v>
      </c>
      <c r="C113" t="s">
        <v>11</v>
      </c>
      <c r="D113" t="s">
        <v>12</v>
      </c>
      <c r="E113" t="s">
        <v>106</v>
      </c>
      <c r="F113" t="s">
        <v>107</v>
      </c>
      <c r="G113" t="s">
        <v>16</v>
      </c>
      <c r="H113" t="s">
        <v>31</v>
      </c>
      <c r="I113" s="1">
        <v>0</v>
      </c>
      <c r="J113" s="1">
        <v>1</v>
      </c>
      <c r="K113" s="1">
        <f t="shared" si="1"/>
        <v>1</v>
      </c>
    </row>
    <row r="114" spans="1:11" hidden="1" x14ac:dyDescent="0.4">
      <c r="A114" t="s">
        <v>9</v>
      </c>
      <c r="B114" t="s">
        <v>10</v>
      </c>
      <c r="C114" t="s">
        <v>11</v>
      </c>
      <c r="D114" t="s">
        <v>12</v>
      </c>
      <c r="E114" t="s">
        <v>106</v>
      </c>
      <c r="F114" t="s">
        <v>107</v>
      </c>
      <c r="G114" t="s">
        <v>16</v>
      </c>
      <c r="H114" t="s">
        <v>8</v>
      </c>
      <c r="I114" s="1">
        <v>0</v>
      </c>
      <c r="J114" s="1">
        <v>2</v>
      </c>
      <c r="K114" s="1">
        <f t="shared" si="1"/>
        <v>2</v>
      </c>
    </row>
    <row r="115" spans="1:11" x14ac:dyDescent="0.4">
      <c r="A115" t="s">
        <v>9</v>
      </c>
      <c r="B115" t="s">
        <v>10</v>
      </c>
      <c r="C115" t="s">
        <v>11</v>
      </c>
      <c r="D115" t="s">
        <v>12</v>
      </c>
      <c r="E115" t="s">
        <v>108</v>
      </c>
      <c r="F115" t="s">
        <v>109</v>
      </c>
      <c r="G115" t="s">
        <v>16</v>
      </c>
      <c r="H115" t="s">
        <v>37</v>
      </c>
      <c r="I115" s="1">
        <v>1</v>
      </c>
      <c r="J115" s="1">
        <v>0</v>
      </c>
      <c r="K115" s="1">
        <f t="shared" si="1"/>
        <v>1</v>
      </c>
    </row>
    <row r="116" spans="1:11" hidden="1" x14ac:dyDescent="0.4">
      <c r="A116" t="s">
        <v>9</v>
      </c>
      <c r="B116" t="s">
        <v>10</v>
      </c>
      <c r="C116" t="s">
        <v>11</v>
      </c>
      <c r="D116" t="s">
        <v>12</v>
      </c>
      <c r="E116" t="s">
        <v>108</v>
      </c>
      <c r="F116" t="s">
        <v>109</v>
      </c>
      <c r="G116" t="s">
        <v>16</v>
      </c>
      <c r="H116" t="s">
        <v>8</v>
      </c>
      <c r="I116" s="1">
        <v>1</v>
      </c>
      <c r="J116" s="1">
        <v>0</v>
      </c>
      <c r="K116" s="1">
        <f t="shared" si="1"/>
        <v>1</v>
      </c>
    </row>
    <row r="117" spans="1:11" x14ac:dyDescent="0.4">
      <c r="A117" t="s">
        <v>9</v>
      </c>
      <c r="B117" t="s">
        <v>10</v>
      </c>
      <c r="C117" t="s">
        <v>11</v>
      </c>
      <c r="D117" t="s">
        <v>12</v>
      </c>
      <c r="E117" t="s">
        <v>110</v>
      </c>
      <c r="F117" t="s">
        <v>111</v>
      </c>
      <c r="G117" t="s">
        <v>16</v>
      </c>
      <c r="H117" t="s">
        <v>31</v>
      </c>
      <c r="I117" s="1">
        <v>1</v>
      </c>
      <c r="J117" s="1">
        <v>0</v>
      </c>
      <c r="K117" s="1">
        <f t="shared" si="1"/>
        <v>1</v>
      </c>
    </row>
    <row r="118" spans="1:11" hidden="1" x14ac:dyDescent="0.4">
      <c r="A118" t="s">
        <v>9</v>
      </c>
      <c r="B118" t="s">
        <v>10</v>
      </c>
      <c r="C118" t="s">
        <v>11</v>
      </c>
      <c r="D118" t="s">
        <v>12</v>
      </c>
      <c r="E118" t="s">
        <v>110</v>
      </c>
      <c r="F118" t="s">
        <v>111</v>
      </c>
      <c r="G118" t="s">
        <v>16</v>
      </c>
      <c r="H118" t="s">
        <v>8</v>
      </c>
      <c r="I118" s="1">
        <v>1</v>
      </c>
      <c r="J118" s="1">
        <v>0</v>
      </c>
      <c r="K118" s="1">
        <f t="shared" si="1"/>
        <v>1</v>
      </c>
    </row>
    <row r="119" spans="1:11" x14ac:dyDescent="0.4">
      <c r="A119" t="s">
        <v>9</v>
      </c>
      <c r="B119" t="s">
        <v>10</v>
      </c>
      <c r="C119" t="s">
        <v>11</v>
      </c>
      <c r="D119" t="s">
        <v>12</v>
      </c>
      <c r="E119" t="s">
        <v>112</v>
      </c>
      <c r="F119" t="s">
        <v>113</v>
      </c>
      <c r="G119" t="s">
        <v>16</v>
      </c>
      <c r="H119" t="s">
        <v>15</v>
      </c>
      <c r="I119" s="1">
        <v>0</v>
      </c>
      <c r="J119" s="1">
        <v>1</v>
      </c>
      <c r="K119" s="1">
        <f t="shared" si="1"/>
        <v>1</v>
      </c>
    </row>
    <row r="120" spans="1:11" hidden="1" x14ac:dyDescent="0.4">
      <c r="A120" t="s">
        <v>9</v>
      </c>
      <c r="B120" t="s">
        <v>10</v>
      </c>
      <c r="C120" t="s">
        <v>11</v>
      </c>
      <c r="D120" t="s">
        <v>12</v>
      </c>
      <c r="E120" t="s">
        <v>112</v>
      </c>
      <c r="F120" t="s">
        <v>113</v>
      </c>
      <c r="G120" t="s">
        <v>16</v>
      </c>
      <c r="H120" t="s">
        <v>8</v>
      </c>
      <c r="I120" s="1">
        <v>0</v>
      </c>
      <c r="J120" s="1">
        <v>1</v>
      </c>
      <c r="K120" s="1">
        <f t="shared" si="1"/>
        <v>1</v>
      </c>
    </row>
    <row r="121" spans="1:11" x14ac:dyDescent="0.4">
      <c r="A121" t="s">
        <v>9</v>
      </c>
      <c r="B121" t="s">
        <v>10</v>
      </c>
      <c r="C121" t="s">
        <v>11</v>
      </c>
      <c r="D121" t="s">
        <v>12</v>
      </c>
      <c r="E121" t="s">
        <v>114</v>
      </c>
      <c r="F121" t="s">
        <v>115</v>
      </c>
      <c r="G121" t="s">
        <v>16</v>
      </c>
      <c r="H121" t="s">
        <v>15</v>
      </c>
      <c r="I121" s="1">
        <v>0</v>
      </c>
      <c r="J121" s="1">
        <v>1</v>
      </c>
      <c r="K121" s="1">
        <f t="shared" si="1"/>
        <v>1</v>
      </c>
    </row>
    <row r="122" spans="1:11" x14ac:dyDescent="0.4">
      <c r="A122" t="s">
        <v>9</v>
      </c>
      <c r="B122" t="s">
        <v>10</v>
      </c>
      <c r="C122" t="s">
        <v>11</v>
      </c>
      <c r="D122" t="s">
        <v>12</v>
      </c>
      <c r="E122" t="s">
        <v>114</v>
      </c>
      <c r="F122" t="s">
        <v>115</v>
      </c>
      <c r="G122" t="s">
        <v>16</v>
      </c>
      <c r="H122" t="s">
        <v>28</v>
      </c>
      <c r="I122" s="1">
        <v>1</v>
      </c>
      <c r="J122" s="1">
        <v>0</v>
      </c>
      <c r="K122" s="1">
        <f t="shared" si="1"/>
        <v>1</v>
      </c>
    </row>
    <row r="123" spans="1:11" hidden="1" x14ac:dyDescent="0.4">
      <c r="A123" t="s">
        <v>9</v>
      </c>
      <c r="B123" t="s">
        <v>10</v>
      </c>
      <c r="C123" t="s">
        <v>11</v>
      </c>
      <c r="D123" t="s">
        <v>12</v>
      </c>
      <c r="E123" t="s">
        <v>114</v>
      </c>
      <c r="F123" t="s">
        <v>115</v>
      </c>
      <c r="G123" t="s">
        <v>16</v>
      </c>
      <c r="H123" t="s">
        <v>8</v>
      </c>
      <c r="I123" s="1">
        <v>1</v>
      </c>
      <c r="J123" s="1">
        <v>1</v>
      </c>
      <c r="K123" s="1">
        <f t="shared" si="1"/>
        <v>2</v>
      </c>
    </row>
    <row r="124" spans="1:11" x14ac:dyDescent="0.4">
      <c r="A124" t="s">
        <v>9</v>
      </c>
      <c r="B124" t="s">
        <v>10</v>
      </c>
      <c r="C124" t="s">
        <v>11</v>
      </c>
      <c r="D124" t="s">
        <v>12</v>
      </c>
      <c r="E124" t="s">
        <v>116</v>
      </c>
      <c r="F124" t="s">
        <v>117</v>
      </c>
      <c r="G124" t="s">
        <v>16</v>
      </c>
      <c r="H124" t="s">
        <v>17</v>
      </c>
      <c r="I124" s="1">
        <v>0</v>
      </c>
      <c r="J124" s="1">
        <v>1</v>
      </c>
      <c r="K124" s="1">
        <f t="shared" si="1"/>
        <v>1</v>
      </c>
    </row>
    <row r="125" spans="1:11" x14ac:dyDescent="0.4">
      <c r="A125" t="s">
        <v>9</v>
      </c>
      <c r="B125" t="s">
        <v>10</v>
      </c>
      <c r="C125" t="s">
        <v>11</v>
      </c>
      <c r="D125" t="s">
        <v>12</v>
      </c>
      <c r="E125" t="s">
        <v>116</v>
      </c>
      <c r="F125" t="s">
        <v>117</v>
      </c>
      <c r="G125" t="s">
        <v>16</v>
      </c>
      <c r="H125" t="s">
        <v>51</v>
      </c>
      <c r="I125" s="1">
        <v>1</v>
      </c>
      <c r="J125" s="1">
        <v>0</v>
      </c>
      <c r="K125" s="1">
        <f t="shared" si="1"/>
        <v>1</v>
      </c>
    </row>
    <row r="126" spans="1:11" hidden="1" x14ac:dyDescent="0.4">
      <c r="A126" t="s">
        <v>9</v>
      </c>
      <c r="B126" t="s">
        <v>10</v>
      </c>
      <c r="C126" t="s">
        <v>11</v>
      </c>
      <c r="D126" t="s">
        <v>12</v>
      </c>
      <c r="E126" t="s">
        <v>116</v>
      </c>
      <c r="F126" t="s">
        <v>117</v>
      </c>
      <c r="G126" t="s">
        <v>16</v>
      </c>
      <c r="H126" t="s">
        <v>8</v>
      </c>
      <c r="I126" s="1">
        <v>1</v>
      </c>
      <c r="J126" s="1">
        <v>1</v>
      </c>
      <c r="K126" s="1">
        <f t="shared" si="1"/>
        <v>2</v>
      </c>
    </row>
    <row r="127" spans="1:11" hidden="1" x14ac:dyDescent="0.4">
      <c r="A127" t="s">
        <v>9</v>
      </c>
      <c r="B127" t="s">
        <v>10</v>
      </c>
      <c r="C127" t="s">
        <v>11</v>
      </c>
      <c r="D127" t="s">
        <v>12</v>
      </c>
      <c r="E127" t="s">
        <v>118</v>
      </c>
      <c r="F127" t="s">
        <v>119</v>
      </c>
      <c r="G127" t="s">
        <v>16</v>
      </c>
      <c r="H127" t="s">
        <v>8</v>
      </c>
      <c r="I127" s="1">
        <v>1</v>
      </c>
      <c r="J127" s="1">
        <v>0</v>
      </c>
      <c r="K127" s="1">
        <f t="shared" si="1"/>
        <v>1</v>
      </c>
    </row>
    <row r="128" spans="1:11" x14ac:dyDescent="0.4">
      <c r="A128" t="s">
        <v>9</v>
      </c>
      <c r="B128" t="s">
        <v>10</v>
      </c>
      <c r="C128" t="s">
        <v>11</v>
      </c>
      <c r="D128" t="s">
        <v>12</v>
      </c>
      <c r="E128" t="s">
        <v>118</v>
      </c>
      <c r="F128" t="s">
        <v>119</v>
      </c>
      <c r="G128" t="s">
        <v>16</v>
      </c>
      <c r="H128" t="s">
        <v>23</v>
      </c>
      <c r="I128" s="1">
        <v>1</v>
      </c>
      <c r="J128" s="1">
        <v>0</v>
      </c>
      <c r="K128" s="1">
        <f t="shared" si="1"/>
        <v>1</v>
      </c>
    </row>
    <row r="129" spans="1:11" x14ac:dyDescent="0.4">
      <c r="A129" t="s">
        <v>9</v>
      </c>
      <c r="B129" t="s">
        <v>10</v>
      </c>
      <c r="C129" t="s">
        <v>11</v>
      </c>
      <c r="D129" t="s">
        <v>12</v>
      </c>
      <c r="E129" t="s">
        <v>120</v>
      </c>
      <c r="F129" t="s">
        <v>121</v>
      </c>
      <c r="G129" t="s">
        <v>16</v>
      </c>
      <c r="H129" t="s">
        <v>28</v>
      </c>
      <c r="I129" s="1">
        <v>1</v>
      </c>
      <c r="J129" s="1">
        <v>0</v>
      </c>
      <c r="K129" s="1">
        <f t="shared" si="1"/>
        <v>1</v>
      </c>
    </row>
    <row r="130" spans="1:11" hidden="1" x14ac:dyDescent="0.4">
      <c r="A130" t="s">
        <v>9</v>
      </c>
      <c r="B130" t="s">
        <v>10</v>
      </c>
      <c r="C130" t="s">
        <v>11</v>
      </c>
      <c r="D130" t="s">
        <v>12</v>
      </c>
      <c r="E130" t="s">
        <v>120</v>
      </c>
      <c r="F130" t="s">
        <v>121</v>
      </c>
      <c r="G130" t="s">
        <v>16</v>
      </c>
      <c r="H130" t="s">
        <v>8</v>
      </c>
      <c r="I130" s="1">
        <v>1</v>
      </c>
      <c r="J130" s="1">
        <v>0</v>
      </c>
      <c r="K130" s="1">
        <f t="shared" si="1"/>
        <v>1</v>
      </c>
    </row>
    <row r="131" spans="1:11" x14ac:dyDescent="0.4">
      <c r="A131" t="s">
        <v>9</v>
      </c>
      <c r="B131" t="s">
        <v>10</v>
      </c>
      <c r="C131" t="s">
        <v>11</v>
      </c>
      <c r="D131" t="s">
        <v>12</v>
      </c>
      <c r="E131" t="s">
        <v>122</v>
      </c>
      <c r="F131" t="s">
        <v>123</v>
      </c>
      <c r="G131" t="s">
        <v>16</v>
      </c>
      <c r="H131" t="s">
        <v>17</v>
      </c>
      <c r="I131" s="1">
        <v>0</v>
      </c>
      <c r="J131" s="1">
        <v>1</v>
      </c>
      <c r="K131" s="1">
        <f t="shared" ref="K131:K194" si="2">SUM(I131,J131)</f>
        <v>1</v>
      </c>
    </row>
    <row r="132" spans="1:11" hidden="1" x14ac:dyDescent="0.4">
      <c r="A132" t="s">
        <v>9</v>
      </c>
      <c r="B132" t="s">
        <v>10</v>
      </c>
      <c r="C132" t="s">
        <v>11</v>
      </c>
      <c r="D132" t="s">
        <v>12</v>
      </c>
      <c r="E132" t="s">
        <v>122</v>
      </c>
      <c r="F132" t="s">
        <v>123</v>
      </c>
      <c r="G132" t="s">
        <v>16</v>
      </c>
      <c r="H132" t="s">
        <v>8</v>
      </c>
      <c r="I132" s="1">
        <v>0</v>
      </c>
      <c r="J132" s="1">
        <v>1</v>
      </c>
      <c r="K132" s="1">
        <f t="shared" si="2"/>
        <v>1</v>
      </c>
    </row>
    <row r="133" spans="1:11" x14ac:dyDescent="0.4">
      <c r="A133" t="s">
        <v>9</v>
      </c>
      <c r="B133" t="s">
        <v>10</v>
      </c>
      <c r="C133" t="s">
        <v>11</v>
      </c>
      <c r="D133" t="s">
        <v>12</v>
      </c>
      <c r="E133" t="s">
        <v>124</v>
      </c>
      <c r="F133" t="s">
        <v>125</v>
      </c>
      <c r="G133" t="s">
        <v>16</v>
      </c>
      <c r="H133" t="s">
        <v>15</v>
      </c>
      <c r="I133" s="1">
        <v>0</v>
      </c>
      <c r="J133" s="1">
        <v>1</v>
      </c>
      <c r="K133" s="1">
        <f t="shared" si="2"/>
        <v>1</v>
      </c>
    </row>
    <row r="134" spans="1:11" hidden="1" x14ac:dyDescent="0.4">
      <c r="A134" t="s">
        <v>9</v>
      </c>
      <c r="B134" t="s">
        <v>10</v>
      </c>
      <c r="C134" t="s">
        <v>11</v>
      </c>
      <c r="D134" t="s">
        <v>12</v>
      </c>
      <c r="E134" t="s">
        <v>124</v>
      </c>
      <c r="F134" t="s">
        <v>125</v>
      </c>
      <c r="G134" t="s">
        <v>16</v>
      </c>
      <c r="H134" t="s">
        <v>8</v>
      </c>
      <c r="I134" s="1">
        <v>1</v>
      </c>
      <c r="J134" s="1">
        <v>1</v>
      </c>
      <c r="K134" s="1">
        <f t="shared" si="2"/>
        <v>2</v>
      </c>
    </row>
    <row r="135" spans="1:11" x14ac:dyDescent="0.4">
      <c r="A135" t="s">
        <v>9</v>
      </c>
      <c r="B135" t="s">
        <v>10</v>
      </c>
      <c r="C135" t="s">
        <v>11</v>
      </c>
      <c r="D135" t="s">
        <v>12</v>
      </c>
      <c r="E135" t="s">
        <v>124</v>
      </c>
      <c r="F135" t="s">
        <v>125</v>
      </c>
      <c r="G135" t="s">
        <v>16</v>
      </c>
      <c r="H135" t="s">
        <v>23</v>
      </c>
      <c r="I135" s="1">
        <v>1</v>
      </c>
      <c r="J135" s="1">
        <v>0</v>
      </c>
      <c r="K135" s="1">
        <f t="shared" si="2"/>
        <v>1</v>
      </c>
    </row>
    <row r="136" spans="1:11" x14ac:dyDescent="0.4">
      <c r="A136" t="s">
        <v>9</v>
      </c>
      <c r="B136" t="s">
        <v>10</v>
      </c>
      <c r="C136" t="s">
        <v>11</v>
      </c>
      <c r="D136" t="s">
        <v>12</v>
      </c>
      <c r="E136" t="s">
        <v>126</v>
      </c>
      <c r="F136" t="s">
        <v>127</v>
      </c>
      <c r="G136" t="s">
        <v>16</v>
      </c>
      <c r="H136" t="s">
        <v>15</v>
      </c>
      <c r="I136" s="1">
        <v>1</v>
      </c>
      <c r="J136" s="1">
        <v>0</v>
      </c>
      <c r="K136" s="1">
        <f t="shared" si="2"/>
        <v>1</v>
      </c>
    </row>
    <row r="137" spans="1:11" hidden="1" x14ac:dyDescent="0.4">
      <c r="A137" t="s">
        <v>9</v>
      </c>
      <c r="B137" t="s">
        <v>10</v>
      </c>
      <c r="C137" t="s">
        <v>11</v>
      </c>
      <c r="D137" t="s">
        <v>12</v>
      </c>
      <c r="E137" t="s">
        <v>126</v>
      </c>
      <c r="F137" t="s">
        <v>127</v>
      </c>
      <c r="G137" t="s">
        <v>16</v>
      </c>
      <c r="H137" t="s">
        <v>8</v>
      </c>
      <c r="I137" s="1">
        <v>1</v>
      </c>
      <c r="J137" s="1">
        <v>0</v>
      </c>
      <c r="K137" s="1">
        <f t="shared" si="2"/>
        <v>1</v>
      </c>
    </row>
    <row r="138" spans="1:11" x14ac:dyDescent="0.4">
      <c r="A138" t="s">
        <v>9</v>
      </c>
      <c r="B138" t="s">
        <v>10</v>
      </c>
      <c r="C138" t="s">
        <v>11</v>
      </c>
      <c r="D138" t="s">
        <v>12</v>
      </c>
      <c r="E138" t="s">
        <v>128</v>
      </c>
      <c r="F138" t="s">
        <v>129</v>
      </c>
      <c r="G138" t="s">
        <v>16</v>
      </c>
      <c r="H138" t="s">
        <v>17</v>
      </c>
      <c r="I138" s="1">
        <v>1</v>
      </c>
      <c r="J138" s="1">
        <v>0</v>
      </c>
      <c r="K138" s="1">
        <f t="shared" si="2"/>
        <v>1</v>
      </c>
    </row>
    <row r="139" spans="1:11" hidden="1" x14ac:dyDescent="0.4">
      <c r="A139" t="s">
        <v>9</v>
      </c>
      <c r="B139" t="s">
        <v>10</v>
      </c>
      <c r="C139" t="s">
        <v>11</v>
      </c>
      <c r="D139" t="s">
        <v>12</v>
      </c>
      <c r="E139" t="s">
        <v>128</v>
      </c>
      <c r="F139" t="s">
        <v>129</v>
      </c>
      <c r="G139" t="s">
        <v>16</v>
      </c>
      <c r="H139" t="s">
        <v>8</v>
      </c>
      <c r="I139" s="1">
        <v>1</v>
      </c>
      <c r="J139" s="1">
        <v>0</v>
      </c>
      <c r="K139" s="1">
        <f t="shared" si="2"/>
        <v>1</v>
      </c>
    </row>
    <row r="140" spans="1:11" hidden="1" x14ac:dyDescent="0.4">
      <c r="A140" t="s">
        <v>9</v>
      </c>
      <c r="B140" t="s">
        <v>10</v>
      </c>
      <c r="C140" t="s">
        <v>11</v>
      </c>
      <c r="D140" t="s">
        <v>12</v>
      </c>
      <c r="E140" t="s">
        <v>130</v>
      </c>
      <c r="F140" t="s">
        <v>131</v>
      </c>
      <c r="G140" t="s">
        <v>16</v>
      </c>
      <c r="H140" t="s">
        <v>8</v>
      </c>
      <c r="I140" s="1">
        <v>1</v>
      </c>
      <c r="J140" s="1">
        <v>0</v>
      </c>
      <c r="K140" s="1">
        <f t="shared" si="2"/>
        <v>1</v>
      </c>
    </row>
    <row r="141" spans="1:11" x14ac:dyDescent="0.4">
      <c r="A141" t="s">
        <v>9</v>
      </c>
      <c r="B141" t="s">
        <v>10</v>
      </c>
      <c r="C141" t="s">
        <v>11</v>
      </c>
      <c r="D141" t="s">
        <v>12</v>
      </c>
      <c r="E141" t="s">
        <v>130</v>
      </c>
      <c r="F141" t="s">
        <v>131</v>
      </c>
      <c r="G141" t="s">
        <v>16</v>
      </c>
      <c r="H141" t="s">
        <v>23</v>
      </c>
      <c r="I141" s="1">
        <v>1</v>
      </c>
      <c r="J141" s="1">
        <v>0</v>
      </c>
      <c r="K141" s="1">
        <f t="shared" si="2"/>
        <v>1</v>
      </c>
    </row>
    <row r="142" spans="1:11" x14ac:dyDescent="0.4">
      <c r="A142" t="s">
        <v>9</v>
      </c>
      <c r="B142" t="s">
        <v>10</v>
      </c>
      <c r="C142" t="s">
        <v>11</v>
      </c>
      <c r="D142" t="s">
        <v>12</v>
      </c>
      <c r="E142" t="s">
        <v>132</v>
      </c>
      <c r="F142" t="s">
        <v>133</v>
      </c>
      <c r="G142" t="s">
        <v>16</v>
      </c>
      <c r="H142" t="s">
        <v>38</v>
      </c>
      <c r="I142" s="1">
        <v>1</v>
      </c>
      <c r="J142" s="1">
        <v>0</v>
      </c>
      <c r="K142" s="1">
        <f t="shared" si="2"/>
        <v>1</v>
      </c>
    </row>
    <row r="143" spans="1:11" hidden="1" x14ac:dyDescent="0.4">
      <c r="A143" t="s">
        <v>9</v>
      </c>
      <c r="B143" t="s">
        <v>10</v>
      </c>
      <c r="C143" t="s">
        <v>11</v>
      </c>
      <c r="D143" t="s">
        <v>12</v>
      </c>
      <c r="E143" t="s">
        <v>132</v>
      </c>
      <c r="F143" t="s">
        <v>133</v>
      </c>
      <c r="G143" t="s">
        <v>16</v>
      </c>
      <c r="H143" t="s">
        <v>8</v>
      </c>
      <c r="I143" s="1">
        <v>1</v>
      </c>
      <c r="J143" s="1">
        <v>0</v>
      </c>
      <c r="K143" s="1">
        <f t="shared" si="2"/>
        <v>1</v>
      </c>
    </row>
    <row r="144" spans="1:11" x14ac:dyDescent="0.4">
      <c r="A144" t="s">
        <v>9</v>
      </c>
      <c r="B144" t="s">
        <v>10</v>
      </c>
      <c r="C144" t="s">
        <v>11</v>
      </c>
      <c r="D144" t="s">
        <v>12</v>
      </c>
      <c r="E144" t="s">
        <v>134</v>
      </c>
      <c r="F144" t="s">
        <v>135</v>
      </c>
      <c r="G144" t="s">
        <v>16</v>
      </c>
      <c r="H144" t="s">
        <v>17</v>
      </c>
      <c r="I144" s="1">
        <v>0</v>
      </c>
      <c r="J144" s="1">
        <v>1</v>
      </c>
      <c r="K144" s="1">
        <f t="shared" si="2"/>
        <v>1</v>
      </c>
    </row>
    <row r="145" spans="1:11" hidden="1" x14ac:dyDescent="0.4">
      <c r="A145" t="s">
        <v>9</v>
      </c>
      <c r="B145" t="s">
        <v>10</v>
      </c>
      <c r="C145" t="s">
        <v>11</v>
      </c>
      <c r="D145" t="s">
        <v>12</v>
      </c>
      <c r="E145" t="s">
        <v>134</v>
      </c>
      <c r="F145" t="s">
        <v>135</v>
      </c>
      <c r="G145" t="s">
        <v>16</v>
      </c>
      <c r="H145" t="s">
        <v>8</v>
      </c>
      <c r="I145" s="1">
        <v>0</v>
      </c>
      <c r="J145" s="1">
        <v>1</v>
      </c>
      <c r="K145" s="1">
        <f t="shared" si="2"/>
        <v>1</v>
      </c>
    </row>
    <row r="146" spans="1:11" x14ac:dyDescent="0.4">
      <c r="A146" t="s">
        <v>9</v>
      </c>
      <c r="B146" t="s">
        <v>10</v>
      </c>
      <c r="C146" t="s">
        <v>11</v>
      </c>
      <c r="D146" t="s">
        <v>12</v>
      </c>
      <c r="E146" t="s">
        <v>136</v>
      </c>
      <c r="F146" t="s">
        <v>137</v>
      </c>
      <c r="G146" t="s">
        <v>16</v>
      </c>
      <c r="H146" t="s">
        <v>17</v>
      </c>
      <c r="I146" s="1">
        <v>1</v>
      </c>
      <c r="J146" s="1">
        <v>1</v>
      </c>
      <c r="K146" s="1">
        <f t="shared" si="2"/>
        <v>2</v>
      </c>
    </row>
    <row r="147" spans="1:11" hidden="1" x14ac:dyDescent="0.4">
      <c r="A147" t="s">
        <v>9</v>
      </c>
      <c r="B147" t="s">
        <v>10</v>
      </c>
      <c r="C147" t="s">
        <v>11</v>
      </c>
      <c r="D147" t="s">
        <v>12</v>
      </c>
      <c r="E147" t="s">
        <v>136</v>
      </c>
      <c r="F147" t="s">
        <v>137</v>
      </c>
      <c r="G147" t="s">
        <v>16</v>
      </c>
      <c r="H147" t="s">
        <v>8</v>
      </c>
      <c r="I147" s="1">
        <v>3</v>
      </c>
      <c r="J147" s="1">
        <v>1</v>
      </c>
      <c r="K147" s="1">
        <f t="shared" si="2"/>
        <v>4</v>
      </c>
    </row>
    <row r="148" spans="1:11" x14ac:dyDescent="0.4">
      <c r="A148" t="s">
        <v>9</v>
      </c>
      <c r="B148" t="s">
        <v>10</v>
      </c>
      <c r="C148" t="s">
        <v>11</v>
      </c>
      <c r="D148" t="s">
        <v>12</v>
      </c>
      <c r="E148" t="s">
        <v>136</v>
      </c>
      <c r="F148" t="s">
        <v>137</v>
      </c>
      <c r="G148" t="s">
        <v>16</v>
      </c>
      <c r="H148" t="s">
        <v>23</v>
      </c>
      <c r="I148" s="1">
        <v>2</v>
      </c>
      <c r="J148" s="1">
        <v>0</v>
      </c>
      <c r="K148" s="1">
        <f t="shared" si="2"/>
        <v>2</v>
      </c>
    </row>
    <row r="149" spans="1:11" x14ac:dyDescent="0.4">
      <c r="A149" t="s">
        <v>9</v>
      </c>
      <c r="B149" t="s">
        <v>10</v>
      </c>
      <c r="C149" t="s">
        <v>11</v>
      </c>
      <c r="D149" t="s">
        <v>12</v>
      </c>
      <c r="E149" t="s">
        <v>138</v>
      </c>
      <c r="F149" t="s">
        <v>139</v>
      </c>
      <c r="G149" t="s">
        <v>16</v>
      </c>
      <c r="H149" t="s">
        <v>34</v>
      </c>
      <c r="I149" s="1">
        <v>1</v>
      </c>
      <c r="J149" s="1">
        <v>0</v>
      </c>
      <c r="K149" s="1">
        <f t="shared" si="2"/>
        <v>1</v>
      </c>
    </row>
    <row r="150" spans="1:11" x14ac:dyDescent="0.4">
      <c r="A150" t="s">
        <v>9</v>
      </c>
      <c r="B150" t="s">
        <v>10</v>
      </c>
      <c r="C150" t="s">
        <v>11</v>
      </c>
      <c r="D150" t="s">
        <v>12</v>
      </c>
      <c r="E150" t="s">
        <v>138</v>
      </c>
      <c r="F150" t="s">
        <v>139</v>
      </c>
      <c r="G150" t="s">
        <v>16</v>
      </c>
      <c r="H150" t="s">
        <v>15</v>
      </c>
      <c r="I150" s="1">
        <v>1</v>
      </c>
      <c r="J150" s="1">
        <v>0</v>
      </c>
      <c r="K150" s="1">
        <f t="shared" si="2"/>
        <v>1</v>
      </c>
    </row>
    <row r="151" spans="1:11" hidden="1" x14ac:dyDescent="0.4">
      <c r="A151" t="s">
        <v>9</v>
      </c>
      <c r="B151" t="s">
        <v>10</v>
      </c>
      <c r="C151" t="s">
        <v>11</v>
      </c>
      <c r="D151" t="s">
        <v>12</v>
      </c>
      <c r="E151" t="s">
        <v>138</v>
      </c>
      <c r="F151" t="s">
        <v>139</v>
      </c>
      <c r="G151" t="s">
        <v>16</v>
      </c>
      <c r="H151" t="s">
        <v>8</v>
      </c>
      <c r="I151" s="1">
        <v>3</v>
      </c>
      <c r="J151" s="1">
        <v>0</v>
      </c>
      <c r="K151" s="1">
        <f t="shared" si="2"/>
        <v>3</v>
      </c>
    </row>
    <row r="152" spans="1:11" x14ac:dyDescent="0.4">
      <c r="A152" t="s">
        <v>9</v>
      </c>
      <c r="B152" t="s">
        <v>10</v>
      </c>
      <c r="C152" t="s">
        <v>11</v>
      </c>
      <c r="D152" t="s">
        <v>12</v>
      </c>
      <c r="E152" t="s">
        <v>138</v>
      </c>
      <c r="F152" t="s">
        <v>139</v>
      </c>
      <c r="G152" t="s">
        <v>16</v>
      </c>
      <c r="H152" t="s">
        <v>23</v>
      </c>
      <c r="I152" s="1">
        <v>1</v>
      </c>
      <c r="J152" s="1">
        <v>0</v>
      </c>
      <c r="K152" s="1">
        <f t="shared" si="2"/>
        <v>1</v>
      </c>
    </row>
    <row r="153" spans="1:11" hidden="1" x14ac:dyDescent="0.4">
      <c r="A153" t="s">
        <v>9</v>
      </c>
      <c r="B153" t="s">
        <v>10</v>
      </c>
      <c r="C153" t="s">
        <v>11</v>
      </c>
      <c r="D153" t="s">
        <v>12</v>
      </c>
      <c r="E153" t="s">
        <v>140</v>
      </c>
      <c r="F153" t="s">
        <v>141</v>
      </c>
      <c r="G153" t="s">
        <v>16</v>
      </c>
      <c r="H153" t="s">
        <v>8</v>
      </c>
      <c r="I153" s="1">
        <v>1</v>
      </c>
      <c r="J153" s="1">
        <v>0</v>
      </c>
      <c r="K153" s="1">
        <f t="shared" si="2"/>
        <v>1</v>
      </c>
    </row>
    <row r="154" spans="1:11" x14ac:dyDescent="0.4">
      <c r="A154" t="s">
        <v>9</v>
      </c>
      <c r="B154" t="s">
        <v>10</v>
      </c>
      <c r="C154" t="s">
        <v>11</v>
      </c>
      <c r="D154" t="s">
        <v>12</v>
      </c>
      <c r="E154" t="s">
        <v>140</v>
      </c>
      <c r="F154" t="s">
        <v>141</v>
      </c>
      <c r="G154" t="s">
        <v>16</v>
      </c>
      <c r="H154" t="s">
        <v>23</v>
      </c>
      <c r="I154" s="1">
        <v>1</v>
      </c>
      <c r="J154" s="1">
        <v>0</v>
      </c>
      <c r="K154" s="1">
        <f t="shared" si="2"/>
        <v>1</v>
      </c>
    </row>
    <row r="155" spans="1:11" x14ac:dyDescent="0.4">
      <c r="A155" t="s">
        <v>9</v>
      </c>
      <c r="B155" t="s">
        <v>10</v>
      </c>
      <c r="C155" t="s">
        <v>11</v>
      </c>
      <c r="D155" t="s">
        <v>12</v>
      </c>
      <c r="E155" t="s">
        <v>142</v>
      </c>
      <c r="F155" t="s">
        <v>143</v>
      </c>
      <c r="G155" t="s">
        <v>16</v>
      </c>
      <c r="H155" t="s">
        <v>38</v>
      </c>
      <c r="I155" s="1">
        <v>1</v>
      </c>
      <c r="J155" s="1">
        <v>0</v>
      </c>
      <c r="K155" s="1">
        <f t="shared" si="2"/>
        <v>1</v>
      </c>
    </row>
    <row r="156" spans="1:11" hidden="1" x14ac:dyDescent="0.4">
      <c r="A156" t="s">
        <v>9</v>
      </c>
      <c r="B156" t="s">
        <v>10</v>
      </c>
      <c r="C156" t="s">
        <v>11</v>
      </c>
      <c r="D156" t="s">
        <v>12</v>
      </c>
      <c r="E156" t="s">
        <v>142</v>
      </c>
      <c r="F156" t="s">
        <v>143</v>
      </c>
      <c r="G156" t="s">
        <v>16</v>
      </c>
      <c r="H156" t="s">
        <v>8</v>
      </c>
      <c r="I156" s="1">
        <v>2</v>
      </c>
      <c r="J156" s="1">
        <v>0</v>
      </c>
      <c r="K156" s="1">
        <f t="shared" si="2"/>
        <v>2</v>
      </c>
    </row>
    <row r="157" spans="1:11" x14ac:dyDescent="0.4">
      <c r="A157" t="s">
        <v>9</v>
      </c>
      <c r="B157" t="s">
        <v>10</v>
      </c>
      <c r="C157" t="s">
        <v>11</v>
      </c>
      <c r="D157" t="s">
        <v>12</v>
      </c>
      <c r="E157" t="s">
        <v>142</v>
      </c>
      <c r="F157" t="s">
        <v>143</v>
      </c>
      <c r="G157" t="s">
        <v>16</v>
      </c>
      <c r="H157" t="s">
        <v>23</v>
      </c>
      <c r="I157" s="1">
        <v>1</v>
      </c>
      <c r="J157" s="1">
        <v>0</v>
      </c>
      <c r="K157" s="1">
        <f t="shared" si="2"/>
        <v>1</v>
      </c>
    </row>
    <row r="158" spans="1:11" x14ac:dyDescent="0.4">
      <c r="A158" t="s">
        <v>9</v>
      </c>
      <c r="B158" t="s">
        <v>10</v>
      </c>
      <c r="C158" t="s">
        <v>11</v>
      </c>
      <c r="D158" t="s">
        <v>12</v>
      </c>
      <c r="E158" t="s">
        <v>144</v>
      </c>
      <c r="F158" t="s">
        <v>145</v>
      </c>
      <c r="G158" t="s">
        <v>16</v>
      </c>
      <c r="H158" t="s">
        <v>15</v>
      </c>
      <c r="I158" s="1">
        <v>0</v>
      </c>
      <c r="J158" s="1">
        <v>1</v>
      </c>
      <c r="K158" s="1">
        <f t="shared" si="2"/>
        <v>1</v>
      </c>
    </row>
    <row r="159" spans="1:11" x14ac:dyDescent="0.4">
      <c r="A159" t="s">
        <v>9</v>
      </c>
      <c r="B159" t="s">
        <v>10</v>
      </c>
      <c r="C159" t="s">
        <v>11</v>
      </c>
      <c r="D159" t="s">
        <v>12</v>
      </c>
      <c r="E159" t="s">
        <v>144</v>
      </c>
      <c r="F159" t="s">
        <v>145</v>
      </c>
      <c r="G159" t="s">
        <v>16</v>
      </c>
      <c r="H159" t="s">
        <v>31</v>
      </c>
      <c r="I159" s="1">
        <v>1</v>
      </c>
      <c r="J159" s="1">
        <v>0</v>
      </c>
      <c r="K159" s="1">
        <f t="shared" si="2"/>
        <v>1</v>
      </c>
    </row>
    <row r="160" spans="1:11" hidden="1" x14ac:dyDescent="0.4">
      <c r="A160" t="s">
        <v>9</v>
      </c>
      <c r="B160" t="s">
        <v>10</v>
      </c>
      <c r="C160" t="s">
        <v>11</v>
      </c>
      <c r="D160" t="s">
        <v>12</v>
      </c>
      <c r="E160" t="s">
        <v>144</v>
      </c>
      <c r="F160" t="s">
        <v>145</v>
      </c>
      <c r="G160" t="s">
        <v>16</v>
      </c>
      <c r="H160" t="s">
        <v>8</v>
      </c>
      <c r="I160" s="1">
        <v>1</v>
      </c>
      <c r="J160" s="1">
        <v>1</v>
      </c>
      <c r="K160" s="1">
        <f t="shared" si="2"/>
        <v>2</v>
      </c>
    </row>
    <row r="161" spans="1:11" hidden="1" x14ac:dyDescent="0.4">
      <c r="A161" t="s">
        <v>9</v>
      </c>
      <c r="B161" t="s">
        <v>10</v>
      </c>
      <c r="C161" t="s">
        <v>11</v>
      </c>
      <c r="D161" t="s">
        <v>12</v>
      </c>
      <c r="E161" t="s">
        <v>146</v>
      </c>
      <c r="F161" t="s">
        <v>147</v>
      </c>
      <c r="G161" t="s">
        <v>16</v>
      </c>
      <c r="H161" t="s">
        <v>8</v>
      </c>
      <c r="I161" s="1">
        <v>1</v>
      </c>
      <c r="J161" s="1">
        <v>0</v>
      </c>
      <c r="K161" s="1">
        <f t="shared" si="2"/>
        <v>1</v>
      </c>
    </row>
    <row r="162" spans="1:11" x14ac:dyDescent="0.4">
      <c r="A162" t="s">
        <v>9</v>
      </c>
      <c r="B162" t="s">
        <v>10</v>
      </c>
      <c r="C162" t="s">
        <v>11</v>
      </c>
      <c r="D162" t="s">
        <v>12</v>
      </c>
      <c r="E162" t="s">
        <v>146</v>
      </c>
      <c r="F162" t="s">
        <v>147</v>
      </c>
      <c r="G162" t="s">
        <v>16</v>
      </c>
      <c r="H162" t="s">
        <v>23</v>
      </c>
      <c r="I162" s="1">
        <v>1</v>
      </c>
      <c r="J162" s="1">
        <v>0</v>
      </c>
      <c r="K162" s="1">
        <f t="shared" si="2"/>
        <v>1</v>
      </c>
    </row>
    <row r="163" spans="1:11" x14ac:dyDescent="0.4">
      <c r="A163" t="s">
        <v>9</v>
      </c>
      <c r="B163" t="s">
        <v>10</v>
      </c>
      <c r="C163" t="s">
        <v>11</v>
      </c>
      <c r="D163" t="s">
        <v>12</v>
      </c>
      <c r="E163" t="s">
        <v>148</v>
      </c>
      <c r="F163" t="s">
        <v>149</v>
      </c>
      <c r="G163" t="s">
        <v>16</v>
      </c>
      <c r="H163" t="s">
        <v>17</v>
      </c>
      <c r="I163" s="1">
        <v>1</v>
      </c>
      <c r="J163" s="1">
        <v>1</v>
      </c>
      <c r="K163" s="1">
        <f t="shared" si="2"/>
        <v>2</v>
      </c>
    </row>
    <row r="164" spans="1:11" x14ac:dyDescent="0.4">
      <c r="A164" t="s">
        <v>9</v>
      </c>
      <c r="B164" t="s">
        <v>10</v>
      </c>
      <c r="C164" t="s">
        <v>11</v>
      </c>
      <c r="D164" t="s">
        <v>12</v>
      </c>
      <c r="E164" t="s">
        <v>148</v>
      </c>
      <c r="F164" t="s">
        <v>149</v>
      </c>
      <c r="G164" t="s">
        <v>16</v>
      </c>
      <c r="H164" t="s">
        <v>31</v>
      </c>
      <c r="I164" s="1">
        <v>0</v>
      </c>
      <c r="J164" s="1">
        <v>1</v>
      </c>
      <c r="K164" s="1">
        <f t="shared" si="2"/>
        <v>1</v>
      </c>
    </row>
    <row r="165" spans="1:11" hidden="1" x14ac:dyDescent="0.4">
      <c r="A165" t="s">
        <v>9</v>
      </c>
      <c r="B165" t="s">
        <v>10</v>
      </c>
      <c r="C165" t="s">
        <v>11</v>
      </c>
      <c r="D165" t="s">
        <v>12</v>
      </c>
      <c r="E165" t="s">
        <v>148</v>
      </c>
      <c r="F165" t="s">
        <v>149</v>
      </c>
      <c r="G165" t="s">
        <v>16</v>
      </c>
      <c r="H165" t="s">
        <v>8</v>
      </c>
      <c r="I165" s="1">
        <v>1</v>
      </c>
      <c r="J165" s="1">
        <v>2</v>
      </c>
      <c r="K165" s="1">
        <f t="shared" si="2"/>
        <v>3</v>
      </c>
    </row>
    <row r="166" spans="1:11" x14ac:dyDescent="0.4">
      <c r="A166" t="s">
        <v>9</v>
      </c>
      <c r="B166" t="s">
        <v>10</v>
      </c>
      <c r="C166" t="s">
        <v>11</v>
      </c>
      <c r="D166" t="s">
        <v>12</v>
      </c>
      <c r="E166" t="s">
        <v>150</v>
      </c>
      <c r="F166" t="s">
        <v>151</v>
      </c>
      <c r="G166" t="s">
        <v>16</v>
      </c>
      <c r="H166" t="s">
        <v>15</v>
      </c>
      <c r="I166" s="1">
        <v>1</v>
      </c>
      <c r="J166" s="1">
        <v>0</v>
      </c>
      <c r="K166" s="1">
        <f t="shared" si="2"/>
        <v>1</v>
      </c>
    </row>
    <row r="167" spans="1:11" hidden="1" x14ac:dyDescent="0.4">
      <c r="A167" t="s">
        <v>9</v>
      </c>
      <c r="B167" t="s">
        <v>10</v>
      </c>
      <c r="C167" t="s">
        <v>11</v>
      </c>
      <c r="D167" t="s">
        <v>12</v>
      </c>
      <c r="E167" t="s">
        <v>150</v>
      </c>
      <c r="F167" t="s">
        <v>151</v>
      </c>
      <c r="G167" t="s">
        <v>16</v>
      </c>
      <c r="H167" t="s">
        <v>8</v>
      </c>
      <c r="I167" s="1">
        <v>1</v>
      </c>
      <c r="J167" s="1">
        <v>0</v>
      </c>
      <c r="K167" s="1">
        <f t="shared" si="2"/>
        <v>1</v>
      </c>
    </row>
    <row r="168" spans="1:11" x14ac:dyDescent="0.4">
      <c r="A168" t="s">
        <v>9</v>
      </c>
      <c r="B168" t="s">
        <v>10</v>
      </c>
      <c r="C168" t="s">
        <v>11</v>
      </c>
      <c r="D168" t="s">
        <v>12</v>
      </c>
      <c r="E168" t="s">
        <v>152</v>
      </c>
      <c r="F168" t="s">
        <v>153</v>
      </c>
      <c r="G168" t="s">
        <v>16</v>
      </c>
      <c r="H168" t="s">
        <v>17</v>
      </c>
      <c r="I168" s="1">
        <v>0</v>
      </c>
      <c r="J168" s="1">
        <v>1</v>
      </c>
      <c r="K168" s="1">
        <f t="shared" si="2"/>
        <v>1</v>
      </c>
    </row>
    <row r="169" spans="1:11" hidden="1" x14ac:dyDescent="0.4">
      <c r="A169" t="s">
        <v>9</v>
      </c>
      <c r="B169" t="s">
        <v>10</v>
      </c>
      <c r="C169" t="s">
        <v>11</v>
      </c>
      <c r="D169" t="s">
        <v>12</v>
      </c>
      <c r="E169" t="s">
        <v>152</v>
      </c>
      <c r="F169" t="s">
        <v>153</v>
      </c>
      <c r="G169" t="s">
        <v>16</v>
      </c>
      <c r="H169" t="s">
        <v>8</v>
      </c>
      <c r="I169" s="1">
        <v>0</v>
      </c>
      <c r="J169" s="1">
        <v>1</v>
      </c>
      <c r="K169" s="1">
        <f t="shared" si="2"/>
        <v>1</v>
      </c>
    </row>
    <row r="170" spans="1:11" x14ac:dyDescent="0.4">
      <c r="A170" t="s">
        <v>9</v>
      </c>
      <c r="B170" t="s">
        <v>10</v>
      </c>
      <c r="C170" t="s">
        <v>11</v>
      </c>
      <c r="D170" t="s">
        <v>12</v>
      </c>
      <c r="E170" t="s">
        <v>154</v>
      </c>
      <c r="F170" t="s">
        <v>155</v>
      </c>
      <c r="G170" t="s">
        <v>16</v>
      </c>
      <c r="H170" t="s">
        <v>17</v>
      </c>
      <c r="I170" s="1">
        <v>1</v>
      </c>
      <c r="J170" s="1">
        <v>0</v>
      </c>
      <c r="K170" s="1">
        <f t="shared" si="2"/>
        <v>1</v>
      </c>
    </row>
    <row r="171" spans="1:11" x14ac:dyDescent="0.4">
      <c r="A171" t="s">
        <v>9</v>
      </c>
      <c r="B171" t="s">
        <v>10</v>
      </c>
      <c r="C171" t="s">
        <v>11</v>
      </c>
      <c r="D171" t="s">
        <v>12</v>
      </c>
      <c r="E171" t="s">
        <v>154</v>
      </c>
      <c r="F171" t="s">
        <v>155</v>
      </c>
      <c r="G171" t="s">
        <v>16</v>
      </c>
      <c r="H171" t="s">
        <v>38</v>
      </c>
      <c r="I171" s="1">
        <v>0</v>
      </c>
      <c r="J171" s="1">
        <v>1</v>
      </c>
      <c r="K171" s="1">
        <f t="shared" si="2"/>
        <v>1</v>
      </c>
    </row>
    <row r="172" spans="1:11" hidden="1" x14ac:dyDescent="0.4">
      <c r="A172" t="s">
        <v>9</v>
      </c>
      <c r="B172" t="s">
        <v>10</v>
      </c>
      <c r="C172" t="s">
        <v>11</v>
      </c>
      <c r="D172" t="s">
        <v>12</v>
      </c>
      <c r="E172" t="s">
        <v>154</v>
      </c>
      <c r="F172" t="s">
        <v>155</v>
      </c>
      <c r="G172" t="s">
        <v>16</v>
      </c>
      <c r="H172" t="s">
        <v>8</v>
      </c>
      <c r="I172" s="1">
        <v>1</v>
      </c>
      <c r="J172" s="1">
        <v>1</v>
      </c>
      <c r="K172" s="1">
        <f t="shared" si="2"/>
        <v>2</v>
      </c>
    </row>
    <row r="173" spans="1:11" hidden="1" x14ac:dyDescent="0.4">
      <c r="A173" t="s">
        <v>9</v>
      </c>
      <c r="B173" t="s">
        <v>10</v>
      </c>
      <c r="C173" t="s">
        <v>11</v>
      </c>
      <c r="D173" t="s">
        <v>12</v>
      </c>
      <c r="E173" t="s">
        <v>156</v>
      </c>
      <c r="F173" t="s">
        <v>157</v>
      </c>
      <c r="G173" t="s">
        <v>16</v>
      </c>
      <c r="H173" t="s">
        <v>8</v>
      </c>
      <c r="I173" s="1">
        <v>1</v>
      </c>
      <c r="J173" s="1">
        <v>0</v>
      </c>
      <c r="K173" s="1">
        <f t="shared" si="2"/>
        <v>1</v>
      </c>
    </row>
    <row r="174" spans="1:11" x14ac:dyDescent="0.4">
      <c r="A174" t="s">
        <v>9</v>
      </c>
      <c r="B174" t="s">
        <v>10</v>
      </c>
      <c r="C174" t="s">
        <v>11</v>
      </c>
      <c r="D174" t="s">
        <v>12</v>
      </c>
      <c r="E174" t="s">
        <v>156</v>
      </c>
      <c r="F174" t="s">
        <v>157</v>
      </c>
      <c r="G174" t="s">
        <v>16</v>
      </c>
      <c r="H174" t="s">
        <v>23</v>
      </c>
      <c r="I174" s="1">
        <v>1</v>
      </c>
      <c r="J174" s="1">
        <v>0</v>
      </c>
      <c r="K174" s="1">
        <f t="shared" si="2"/>
        <v>1</v>
      </c>
    </row>
    <row r="175" spans="1:11" x14ac:dyDescent="0.4">
      <c r="A175" t="s">
        <v>9</v>
      </c>
      <c r="B175" t="s">
        <v>10</v>
      </c>
      <c r="C175" t="s">
        <v>11</v>
      </c>
      <c r="D175" t="s">
        <v>12</v>
      </c>
      <c r="E175" t="s">
        <v>158</v>
      </c>
      <c r="F175" t="s">
        <v>159</v>
      </c>
      <c r="G175" t="s">
        <v>16</v>
      </c>
      <c r="H175" t="s">
        <v>37</v>
      </c>
      <c r="I175" s="1">
        <v>1</v>
      </c>
      <c r="J175" s="1">
        <v>0</v>
      </c>
      <c r="K175" s="1">
        <f t="shared" si="2"/>
        <v>1</v>
      </c>
    </row>
    <row r="176" spans="1:11" x14ac:dyDescent="0.4">
      <c r="A176" t="s">
        <v>9</v>
      </c>
      <c r="B176" t="s">
        <v>10</v>
      </c>
      <c r="C176" t="s">
        <v>11</v>
      </c>
      <c r="D176" t="s">
        <v>12</v>
      </c>
      <c r="E176" t="s">
        <v>158</v>
      </c>
      <c r="F176" t="s">
        <v>159</v>
      </c>
      <c r="G176" t="s">
        <v>16</v>
      </c>
      <c r="H176" t="s">
        <v>34</v>
      </c>
      <c r="I176" s="1">
        <v>7</v>
      </c>
      <c r="J176" s="1">
        <v>0</v>
      </c>
      <c r="K176" s="1">
        <f t="shared" si="2"/>
        <v>7</v>
      </c>
    </row>
    <row r="177" spans="1:11" x14ac:dyDescent="0.4">
      <c r="A177" t="s">
        <v>9</v>
      </c>
      <c r="B177" t="s">
        <v>10</v>
      </c>
      <c r="C177" t="s">
        <v>11</v>
      </c>
      <c r="D177" t="s">
        <v>12</v>
      </c>
      <c r="E177" t="s">
        <v>158</v>
      </c>
      <c r="F177" t="s">
        <v>159</v>
      </c>
      <c r="G177" t="s">
        <v>16</v>
      </c>
      <c r="H177" t="s">
        <v>17</v>
      </c>
      <c r="I177" s="1">
        <v>6</v>
      </c>
      <c r="J177" s="1">
        <v>3</v>
      </c>
      <c r="K177" s="1">
        <f t="shared" si="2"/>
        <v>9</v>
      </c>
    </row>
    <row r="178" spans="1:11" x14ac:dyDescent="0.4">
      <c r="A178" t="s">
        <v>9</v>
      </c>
      <c r="B178" t="s">
        <v>10</v>
      </c>
      <c r="C178" t="s">
        <v>11</v>
      </c>
      <c r="D178" t="s">
        <v>12</v>
      </c>
      <c r="E178" t="s">
        <v>158</v>
      </c>
      <c r="F178" t="s">
        <v>159</v>
      </c>
      <c r="G178" t="s">
        <v>16</v>
      </c>
      <c r="H178" t="s">
        <v>15</v>
      </c>
      <c r="I178" s="1">
        <v>5</v>
      </c>
      <c r="J178" s="1">
        <v>1</v>
      </c>
      <c r="K178" s="1">
        <f t="shared" si="2"/>
        <v>6</v>
      </c>
    </row>
    <row r="179" spans="1:11" x14ac:dyDescent="0.4">
      <c r="A179" t="s">
        <v>9</v>
      </c>
      <c r="B179" t="s">
        <v>10</v>
      </c>
      <c r="C179" t="s">
        <v>11</v>
      </c>
      <c r="D179" t="s">
        <v>12</v>
      </c>
      <c r="E179" t="s">
        <v>158</v>
      </c>
      <c r="F179" t="s">
        <v>159</v>
      </c>
      <c r="G179" t="s">
        <v>16</v>
      </c>
      <c r="H179" t="s">
        <v>38</v>
      </c>
      <c r="I179" s="1">
        <v>5</v>
      </c>
      <c r="J179" s="1">
        <v>1</v>
      </c>
      <c r="K179" s="1">
        <f t="shared" si="2"/>
        <v>6</v>
      </c>
    </row>
    <row r="180" spans="1:11" x14ac:dyDescent="0.4">
      <c r="A180" t="s">
        <v>9</v>
      </c>
      <c r="B180" t="s">
        <v>10</v>
      </c>
      <c r="C180" t="s">
        <v>11</v>
      </c>
      <c r="D180" t="s">
        <v>12</v>
      </c>
      <c r="E180" t="s">
        <v>158</v>
      </c>
      <c r="F180" t="s">
        <v>159</v>
      </c>
      <c r="G180" t="s">
        <v>16</v>
      </c>
      <c r="H180" t="s">
        <v>28</v>
      </c>
      <c r="I180" s="1">
        <v>1</v>
      </c>
      <c r="J180" s="1">
        <v>1</v>
      </c>
      <c r="K180" s="1">
        <f t="shared" si="2"/>
        <v>2</v>
      </c>
    </row>
    <row r="181" spans="1:11" x14ac:dyDescent="0.4">
      <c r="A181" t="s">
        <v>9</v>
      </c>
      <c r="B181" t="s">
        <v>10</v>
      </c>
      <c r="C181" t="s">
        <v>11</v>
      </c>
      <c r="D181" t="s">
        <v>12</v>
      </c>
      <c r="E181" t="s">
        <v>158</v>
      </c>
      <c r="F181" t="s">
        <v>159</v>
      </c>
      <c r="G181" t="s">
        <v>16</v>
      </c>
      <c r="H181" t="s">
        <v>160</v>
      </c>
      <c r="I181" s="1">
        <v>1</v>
      </c>
      <c r="J181" s="1">
        <v>0</v>
      </c>
      <c r="K181" s="1">
        <f t="shared" si="2"/>
        <v>1</v>
      </c>
    </row>
    <row r="182" spans="1:11" x14ac:dyDescent="0.4">
      <c r="A182" t="s">
        <v>9</v>
      </c>
      <c r="B182" t="s">
        <v>10</v>
      </c>
      <c r="C182" t="s">
        <v>11</v>
      </c>
      <c r="D182" t="s">
        <v>12</v>
      </c>
      <c r="E182" t="s">
        <v>158</v>
      </c>
      <c r="F182" t="s">
        <v>159</v>
      </c>
      <c r="G182" t="s">
        <v>16</v>
      </c>
      <c r="H182" t="s">
        <v>31</v>
      </c>
      <c r="I182" s="1">
        <v>3</v>
      </c>
      <c r="J182" s="1">
        <v>0</v>
      </c>
      <c r="K182" s="1">
        <f t="shared" si="2"/>
        <v>3</v>
      </c>
    </row>
    <row r="183" spans="1:11" hidden="1" x14ac:dyDescent="0.4">
      <c r="A183" t="s">
        <v>9</v>
      </c>
      <c r="B183" t="s">
        <v>10</v>
      </c>
      <c r="C183" t="s">
        <v>11</v>
      </c>
      <c r="D183" t="s">
        <v>12</v>
      </c>
      <c r="E183" t="s">
        <v>158</v>
      </c>
      <c r="F183" t="s">
        <v>159</v>
      </c>
      <c r="G183" t="s">
        <v>16</v>
      </c>
      <c r="H183" t="s">
        <v>8</v>
      </c>
      <c r="I183" s="1">
        <v>35</v>
      </c>
      <c r="J183" s="1">
        <v>7</v>
      </c>
      <c r="K183" s="1">
        <f t="shared" si="2"/>
        <v>42</v>
      </c>
    </row>
    <row r="184" spans="1:11" x14ac:dyDescent="0.4">
      <c r="A184" t="s">
        <v>9</v>
      </c>
      <c r="B184" t="s">
        <v>10</v>
      </c>
      <c r="C184" t="s">
        <v>11</v>
      </c>
      <c r="D184" t="s">
        <v>12</v>
      </c>
      <c r="E184" t="s">
        <v>158</v>
      </c>
      <c r="F184" t="s">
        <v>159</v>
      </c>
      <c r="G184" t="s">
        <v>16</v>
      </c>
      <c r="H184" t="s">
        <v>23</v>
      </c>
      <c r="I184" s="1">
        <v>6</v>
      </c>
      <c r="J184" s="1">
        <v>1</v>
      </c>
      <c r="K184" s="1">
        <f t="shared" si="2"/>
        <v>7</v>
      </c>
    </row>
    <row r="185" spans="1:11" x14ac:dyDescent="0.4">
      <c r="A185" t="s">
        <v>9</v>
      </c>
      <c r="B185" t="s">
        <v>10</v>
      </c>
      <c r="C185" t="s">
        <v>11</v>
      </c>
      <c r="D185" t="s">
        <v>12</v>
      </c>
      <c r="E185" t="s">
        <v>161</v>
      </c>
      <c r="F185" t="s">
        <v>162</v>
      </c>
      <c r="G185" t="s">
        <v>16</v>
      </c>
      <c r="H185" t="s">
        <v>34</v>
      </c>
      <c r="I185" s="1">
        <v>1</v>
      </c>
      <c r="J185" s="1">
        <v>0</v>
      </c>
      <c r="K185" s="1">
        <f t="shared" si="2"/>
        <v>1</v>
      </c>
    </row>
    <row r="186" spans="1:11" x14ac:dyDescent="0.4">
      <c r="A186" t="s">
        <v>9</v>
      </c>
      <c r="B186" t="s">
        <v>10</v>
      </c>
      <c r="C186" t="s">
        <v>11</v>
      </c>
      <c r="D186" t="s">
        <v>12</v>
      </c>
      <c r="E186" t="s">
        <v>161</v>
      </c>
      <c r="F186" t="s">
        <v>162</v>
      </c>
      <c r="G186" t="s">
        <v>16</v>
      </c>
      <c r="H186" t="s">
        <v>17</v>
      </c>
      <c r="I186" s="1">
        <v>2</v>
      </c>
      <c r="J186" s="1">
        <v>0</v>
      </c>
      <c r="K186" s="1">
        <f t="shared" si="2"/>
        <v>2</v>
      </c>
    </row>
    <row r="187" spans="1:11" hidden="1" x14ac:dyDescent="0.4">
      <c r="A187" t="s">
        <v>9</v>
      </c>
      <c r="B187" t="s">
        <v>10</v>
      </c>
      <c r="C187" t="s">
        <v>11</v>
      </c>
      <c r="D187" t="s">
        <v>12</v>
      </c>
      <c r="E187" t="s">
        <v>161</v>
      </c>
      <c r="F187" t="s">
        <v>162</v>
      </c>
      <c r="G187" t="s">
        <v>16</v>
      </c>
      <c r="H187" t="s">
        <v>8</v>
      </c>
      <c r="I187" s="1">
        <v>3</v>
      </c>
      <c r="J187" s="1">
        <v>0</v>
      </c>
      <c r="K187" s="1">
        <f t="shared" si="2"/>
        <v>3</v>
      </c>
    </row>
    <row r="188" spans="1:11" x14ac:dyDescent="0.4">
      <c r="A188" t="s">
        <v>9</v>
      </c>
      <c r="B188" t="s">
        <v>10</v>
      </c>
      <c r="C188" t="s">
        <v>11</v>
      </c>
      <c r="D188" t="s">
        <v>12</v>
      </c>
      <c r="E188" t="s">
        <v>163</v>
      </c>
      <c r="F188" t="s">
        <v>164</v>
      </c>
      <c r="G188" t="s">
        <v>16</v>
      </c>
      <c r="H188" t="s">
        <v>34</v>
      </c>
      <c r="I188" s="1">
        <v>1</v>
      </c>
      <c r="J188" s="1">
        <v>0</v>
      </c>
      <c r="K188" s="1">
        <f t="shared" si="2"/>
        <v>1</v>
      </c>
    </row>
    <row r="189" spans="1:11" hidden="1" x14ac:dyDescent="0.4">
      <c r="A189" t="s">
        <v>9</v>
      </c>
      <c r="B189" t="s">
        <v>10</v>
      </c>
      <c r="C189" t="s">
        <v>11</v>
      </c>
      <c r="D189" t="s">
        <v>12</v>
      </c>
      <c r="E189" t="s">
        <v>163</v>
      </c>
      <c r="F189" t="s">
        <v>164</v>
      </c>
      <c r="G189" t="s">
        <v>16</v>
      </c>
      <c r="H189" t="s">
        <v>8</v>
      </c>
      <c r="I189" s="1">
        <v>1</v>
      </c>
      <c r="J189" s="1">
        <v>0</v>
      </c>
      <c r="K189" s="1">
        <f t="shared" si="2"/>
        <v>1</v>
      </c>
    </row>
    <row r="190" spans="1:11" x14ac:dyDescent="0.4">
      <c r="A190" t="s">
        <v>9</v>
      </c>
      <c r="B190" t="s">
        <v>10</v>
      </c>
      <c r="C190" t="s">
        <v>11</v>
      </c>
      <c r="D190" t="s">
        <v>12</v>
      </c>
      <c r="E190" t="s">
        <v>165</v>
      </c>
      <c r="F190" t="s">
        <v>166</v>
      </c>
      <c r="G190" t="s">
        <v>16</v>
      </c>
      <c r="H190" t="s">
        <v>17</v>
      </c>
      <c r="I190" s="1">
        <v>1</v>
      </c>
      <c r="J190" s="1">
        <v>0</v>
      </c>
      <c r="K190" s="1">
        <f t="shared" si="2"/>
        <v>1</v>
      </c>
    </row>
    <row r="191" spans="1:11" x14ac:dyDescent="0.4">
      <c r="A191" t="s">
        <v>9</v>
      </c>
      <c r="B191" t="s">
        <v>10</v>
      </c>
      <c r="C191" t="s">
        <v>11</v>
      </c>
      <c r="D191" t="s">
        <v>12</v>
      </c>
      <c r="E191" t="s">
        <v>165</v>
      </c>
      <c r="F191" t="s">
        <v>166</v>
      </c>
      <c r="G191" t="s">
        <v>16</v>
      </c>
      <c r="H191" t="s">
        <v>39</v>
      </c>
      <c r="I191" s="1">
        <v>1</v>
      </c>
      <c r="J191" s="1">
        <v>0</v>
      </c>
      <c r="K191" s="1">
        <f t="shared" si="2"/>
        <v>1</v>
      </c>
    </row>
    <row r="192" spans="1:11" x14ac:dyDescent="0.4">
      <c r="A192" t="s">
        <v>9</v>
      </c>
      <c r="B192" t="s">
        <v>10</v>
      </c>
      <c r="C192" t="s">
        <v>11</v>
      </c>
      <c r="D192" t="s">
        <v>12</v>
      </c>
      <c r="E192" t="s">
        <v>165</v>
      </c>
      <c r="F192" t="s">
        <v>166</v>
      </c>
      <c r="G192" t="s">
        <v>16</v>
      </c>
      <c r="H192" t="s">
        <v>31</v>
      </c>
      <c r="I192" s="1">
        <v>2</v>
      </c>
      <c r="J192" s="1">
        <v>0</v>
      </c>
      <c r="K192" s="1">
        <f t="shared" si="2"/>
        <v>2</v>
      </c>
    </row>
    <row r="193" spans="1:11" hidden="1" x14ac:dyDescent="0.4">
      <c r="A193" t="s">
        <v>9</v>
      </c>
      <c r="B193" t="s">
        <v>10</v>
      </c>
      <c r="C193" t="s">
        <v>11</v>
      </c>
      <c r="D193" t="s">
        <v>12</v>
      </c>
      <c r="E193" t="s">
        <v>165</v>
      </c>
      <c r="F193" t="s">
        <v>166</v>
      </c>
      <c r="G193" t="s">
        <v>16</v>
      </c>
      <c r="H193" t="s">
        <v>8</v>
      </c>
      <c r="I193" s="1">
        <v>4</v>
      </c>
      <c r="J193" s="1">
        <v>0</v>
      </c>
      <c r="K193" s="1">
        <f t="shared" si="2"/>
        <v>4</v>
      </c>
    </row>
    <row r="194" spans="1:11" x14ac:dyDescent="0.4">
      <c r="A194" t="s">
        <v>9</v>
      </c>
      <c r="B194" t="s">
        <v>10</v>
      </c>
      <c r="C194" t="s">
        <v>11</v>
      </c>
      <c r="D194" t="s">
        <v>12</v>
      </c>
      <c r="E194" t="s">
        <v>167</v>
      </c>
      <c r="F194" t="s">
        <v>168</v>
      </c>
      <c r="G194" t="s">
        <v>16</v>
      </c>
      <c r="H194" t="s">
        <v>17</v>
      </c>
      <c r="I194" s="1">
        <v>1</v>
      </c>
      <c r="J194" s="1">
        <v>0</v>
      </c>
      <c r="K194" s="1">
        <f t="shared" si="2"/>
        <v>1</v>
      </c>
    </row>
    <row r="195" spans="1:11" hidden="1" x14ac:dyDescent="0.4">
      <c r="A195" t="s">
        <v>9</v>
      </c>
      <c r="B195" t="s">
        <v>10</v>
      </c>
      <c r="C195" t="s">
        <v>11</v>
      </c>
      <c r="D195" t="s">
        <v>12</v>
      </c>
      <c r="E195" t="s">
        <v>167</v>
      </c>
      <c r="F195" t="s">
        <v>168</v>
      </c>
      <c r="G195" t="s">
        <v>16</v>
      </c>
      <c r="H195" t="s">
        <v>8</v>
      </c>
      <c r="I195" s="1">
        <v>1</v>
      </c>
      <c r="J195" s="1">
        <v>0</v>
      </c>
      <c r="K195" s="1">
        <f t="shared" ref="K195:K258" si="3">SUM(I195,J195)</f>
        <v>1</v>
      </c>
    </row>
    <row r="196" spans="1:11" x14ac:dyDescent="0.4">
      <c r="A196" t="s">
        <v>9</v>
      </c>
      <c r="B196" t="s">
        <v>10</v>
      </c>
      <c r="C196" t="s">
        <v>11</v>
      </c>
      <c r="D196" t="s">
        <v>12</v>
      </c>
      <c r="E196" t="s">
        <v>169</v>
      </c>
      <c r="F196" t="s">
        <v>170</v>
      </c>
      <c r="G196" t="s">
        <v>16</v>
      </c>
      <c r="H196" t="s">
        <v>34</v>
      </c>
      <c r="I196" s="1">
        <v>1</v>
      </c>
      <c r="J196" s="1">
        <v>0</v>
      </c>
      <c r="K196" s="1">
        <f t="shared" si="3"/>
        <v>1</v>
      </c>
    </row>
    <row r="197" spans="1:11" x14ac:dyDescent="0.4">
      <c r="A197" t="s">
        <v>9</v>
      </c>
      <c r="B197" t="s">
        <v>10</v>
      </c>
      <c r="C197" t="s">
        <v>11</v>
      </c>
      <c r="D197" t="s">
        <v>12</v>
      </c>
      <c r="E197" t="s">
        <v>169</v>
      </c>
      <c r="F197" t="s">
        <v>170</v>
      </c>
      <c r="G197" t="s">
        <v>16</v>
      </c>
      <c r="H197" t="s">
        <v>17</v>
      </c>
      <c r="I197" s="1">
        <v>1</v>
      </c>
      <c r="J197" s="1">
        <v>0</v>
      </c>
      <c r="K197" s="1">
        <f t="shared" si="3"/>
        <v>1</v>
      </c>
    </row>
    <row r="198" spans="1:11" x14ac:dyDescent="0.4">
      <c r="A198" t="s">
        <v>9</v>
      </c>
      <c r="B198" t="s">
        <v>10</v>
      </c>
      <c r="C198" t="s">
        <v>11</v>
      </c>
      <c r="D198" t="s">
        <v>12</v>
      </c>
      <c r="E198" t="s">
        <v>169</v>
      </c>
      <c r="F198" t="s">
        <v>170</v>
      </c>
      <c r="G198" t="s">
        <v>16</v>
      </c>
      <c r="H198" t="s">
        <v>31</v>
      </c>
      <c r="I198" s="1">
        <v>0</v>
      </c>
      <c r="J198" s="1">
        <v>1</v>
      </c>
      <c r="K198" s="1">
        <f t="shared" si="3"/>
        <v>1</v>
      </c>
    </row>
    <row r="199" spans="1:11" hidden="1" x14ac:dyDescent="0.4">
      <c r="A199" t="s">
        <v>9</v>
      </c>
      <c r="B199" t="s">
        <v>10</v>
      </c>
      <c r="C199" t="s">
        <v>11</v>
      </c>
      <c r="D199" t="s">
        <v>12</v>
      </c>
      <c r="E199" t="s">
        <v>169</v>
      </c>
      <c r="F199" t="s">
        <v>170</v>
      </c>
      <c r="G199" t="s">
        <v>16</v>
      </c>
      <c r="H199" t="s">
        <v>8</v>
      </c>
      <c r="I199" s="1">
        <v>2</v>
      </c>
      <c r="J199" s="1">
        <v>1</v>
      </c>
      <c r="K199" s="1">
        <f t="shared" si="3"/>
        <v>3</v>
      </c>
    </row>
    <row r="200" spans="1:11" x14ac:dyDescent="0.4">
      <c r="A200" t="s">
        <v>9</v>
      </c>
      <c r="B200" t="s">
        <v>10</v>
      </c>
      <c r="C200" t="s">
        <v>11</v>
      </c>
      <c r="D200" t="s">
        <v>12</v>
      </c>
      <c r="E200" t="s">
        <v>171</v>
      </c>
      <c r="F200" t="s">
        <v>172</v>
      </c>
      <c r="G200" t="s">
        <v>16</v>
      </c>
      <c r="H200" t="s">
        <v>37</v>
      </c>
      <c r="I200" s="1">
        <v>1</v>
      </c>
      <c r="J200" s="1">
        <v>0</v>
      </c>
      <c r="K200" s="1">
        <f t="shared" si="3"/>
        <v>1</v>
      </c>
    </row>
    <row r="201" spans="1:11" x14ac:dyDescent="0.4">
      <c r="A201" t="s">
        <v>9</v>
      </c>
      <c r="B201" t="s">
        <v>10</v>
      </c>
      <c r="C201" t="s">
        <v>11</v>
      </c>
      <c r="D201" t="s">
        <v>12</v>
      </c>
      <c r="E201" t="s">
        <v>171</v>
      </c>
      <c r="F201" t="s">
        <v>172</v>
      </c>
      <c r="G201" t="s">
        <v>16</v>
      </c>
      <c r="H201" t="s">
        <v>34</v>
      </c>
      <c r="I201" s="1">
        <v>3</v>
      </c>
      <c r="J201" s="1">
        <v>0</v>
      </c>
      <c r="K201" s="1">
        <f t="shared" si="3"/>
        <v>3</v>
      </c>
    </row>
    <row r="202" spans="1:11" x14ac:dyDescent="0.4">
      <c r="A202" t="s">
        <v>9</v>
      </c>
      <c r="B202" t="s">
        <v>10</v>
      </c>
      <c r="C202" t="s">
        <v>11</v>
      </c>
      <c r="D202" t="s">
        <v>12</v>
      </c>
      <c r="E202" t="s">
        <v>171</v>
      </c>
      <c r="F202" t="s">
        <v>172</v>
      </c>
      <c r="G202" t="s">
        <v>16</v>
      </c>
      <c r="H202" t="s">
        <v>17</v>
      </c>
      <c r="I202" s="1">
        <v>2</v>
      </c>
      <c r="J202" s="1">
        <v>2</v>
      </c>
      <c r="K202" s="1">
        <f t="shared" si="3"/>
        <v>4</v>
      </c>
    </row>
    <row r="203" spans="1:11" x14ac:dyDescent="0.4">
      <c r="A203" t="s">
        <v>9</v>
      </c>
      <c r="B203" t="s">
        <v>10</v>
      </c>
      <c r="C203" t="s">
        <v>11</v>
      </c>
      <c r="D203" t="s">
        <v>12</v>
      </c>
      <c r="E203" t="s">
        <v>171</v>
      </c>
      <c r="F203" t="s">
        <v>172</v>
      </c>
      <c r="G203" t="s">
        <v>16</v>
      </c>
      <c r="H203" t="s">
        <v>15</v>
      </c>
      <c r="I203" s="1">
        <v>6</v>
      </c>
      <c r="J203" s="1">
        <v>5</v>
      </c>
      <c r="K203" s="1">
        <f t="shared" si="3"/>
        <v>11</v>
      </c>
    </row>
    <row r="204" spans="1:11" x14ac:dyDescent="0.4">
      <c r="A204" t="s">
        <v>9</v>
      </c>
      <c r="B204" t="s">
        <v>10</v>
      </c>
      <c r="C204" t="s">
        <v>11</v>
      </c>
      <c r="D204" t="s">
        <v>12</v>
      </c>
      <c r="E204" t="s">
        <v>171</v>
      </c>
      <c r="F204" t="s">
        <v>172</v>
      </c>
      <c r="G204" t="s">
        <v>16</v>
      </c>
      <c r="H204" t="s">
        <v>38</v>
      </c>
      <c r="I204" s="1">
        <v>5</v>
      </c>
      <c r="J204" s="1">
        <v>0</v>
      </c>
      <c r="K204" s="1">
        <f t="shared" si="3"/>
        <v>5</v>
      </c>
    </row>
    <row r="205" spans="1:11" x14ac:dyDescent="0.4">
      <c r="A205" t="s">
        <v>9</v>
      </c>
      <c r="B205" t="s">
        <v>10</v>
      </c>
      <c r="C205" t="s">
        <v>11</v>
      </c>
      <c r="D205" t="s">
        <v>12</v>
      </c>
      <c r="E205" t="s">
        <v>171</v>
      </c>
      <c r="F205" t="s">
        <v>172</v>
      </c>
      <c r="G205" t="s">
        <v>16</v>
      </c>
      <c r="H205" t="s">
        <v>51</v>
      </c>
      <c r="I205" s="1">
        <v>1</v>
      </c>
      <c r="J205" s="1">
        <v>0</v>
      </c>
      <c r="K205" s="1">
        <f t="shared" si="3"/>
        <v>1</v>
      </c>
    </row>
    <row r="206" spans="1:11" x14ac:dyDescent="0.4">
      <c r="A206" t="s">
        <v>9</v>
      </c>
      <c r="B206" t="s">
        <v>10</v>
      </c>
      <c r="C206" t="s">
        <v>11</v>
      </c>
      <c r="D206" t="s">
        <v>12</v>
      </c>
      <c r="E206" t="s">
        <v>171</v>
      </c>
      <c r="F206" t="s">
        <v>172</v>
      </c>
      <c r="G206" t="s">
        <v>16</v>
      </c>
      <c r="H206" t="s">
        <v>28</v>
      </c>
      <c r="I206" s="1">
        <v>1</v>
      </c>
      <c r="J206" s="1">
        <v>0</v>
      </c>
      <c r="K206" s="1">
        <f t="shared" si="3"/>
        <v>1</v>
      </c>
    </row>
    <row r="207" spans="1:11" x14ac:dyDescent="0.4">
      <c r="A207" t="s">
        <v>9</v>
      </c>
      <c r="B207" t="s">
        <v>10</v>
      </c>
      <c r="C207" t="s">
        <v>11</v>
      </c>
      <c r="D207" t="s">
        <v>12</v>
      </c>
      <c r="E207" t="s">
        <v>171</v>
      </c>
      <c r="F207" t="s">
        <v>172</v>
      </c>
      <c r="G207" t="s">
        <v>16</v>
      </c>
      <c r="H207" t="s">
        <v>31</v>
      </c>
      <c r="I207" s="1">
        <v>4</v>
      </c>
      <c r="J207" s="1">
        <v>0</v>
      </c>
      <c r="K207" s="1">
        <f t="shared" si="3"/>
        <v>4</v>
      </c>
    </row>
    <row r="208" spans="1:11" hidden="1" x14ac:dyDescent="0.4">
      <c r="A208" t="s">
        <v>9</v>
      </c>
      <c r="B208" t="s">
        <v>10</v>
      </c>
      <c r="C208" t="s">
        <v>11</v>
      </c>
      <c r="D208" t="s">
        <v>12</v>
      </c>
      <c r="E208" t="s">
        <v>171</v>
      </c>
      <c r="F208" t="s">
        <v>172</v>
      </c>
      <c r="G208" t="s">
        <v>16</v>
      </c>
      <c r="H208" t="s">
        <v>8</v>
      </c>
      <c r="I208" s="1">
        <v>26</v>
      </c>
      <c r="J208" s="1">
        <v>7</v>
      </c>
      <c r="K208" s="1">
        <f t="shared" si="3"/>
        <v>33</v>
      </c>
    </row>
    <row r="209" spans="1:11" x14ac:dyDescent="0.4">
      <c r="A209" t="s">
        <v>9</v>
      </c>
      <c r="B209" t="s">
        <v>10</v>
      </c>
      <c r="C209" t="s">
        <v>11</v>
      </c>
      <c r="D209" t="s">
        <v>12</v>
      </c>
      <c r="E209" t="s">
        <v>171</v>
      </c>
      <c r="F209" t="s">
        <v>172</v>
      </c>
      <c r="G209" t="s">
        <v>16</v>
      </c>
      <c r="H209" t="s">
        <v>23</v>
      </c>
      <c r="I209" s="1">
        <v>3</v>
      </c>
      <c r="J209" s="1">
        <v>0</v>
      </c>
      <c r="K209" s="1">
        <f t="shared" si="3"/>
        <v>3</v>
      </c>
    </row>
    <row r="210" spans="1:11" x14ac:dyDescent="0.4">
      <c r="A210" t="s">
        <v>9</v>
      </c>
      <c r="B210" t="s">
        <v>10</v>
      </c>
      <c r="C210" t="s">
        <v>11</v>
      </c>
      <c r="D210" t="s">
        <v>12</v>
      </c>
      <c r="E210" t="s">
        <v>173</v>
      </c>
      <c r="F210" t="s">
        <v>174</v>
      </c>
      <c r="G210" t="s">
        <v>16</v>
      </c>
      <c r="H210" t="s">
        <v>31</v>
      </c>
      <c r="I210" s="1">
        <v>1</v>
      </c>
      <c r="J210" s="1">
        <v>0</v>
      </c>
      <c r="K210" s="1">
        <f t="shared" si="3"/>
        <v>1</v>
      </c>
    </row>
    <row r="211" spans="1:11" hidden="1" x14ac:dyDescent="0.4">
      <c r="A211" t="s">
        <v>9</v>
      </c>
      <c r="B211" t="s">
        <v>10</v>
      </c>
      <c r="C211" t="s">
        <v>11</v>
      </c>
      <c r="D211" t="s">
        <v>12</v>
      </c>
      <c r="E211" t="s">
        <v>173</v>
      </c>
      <c r="F211" t="s">
        <v>174</v>
      </c>
      <c r="G211" t="s">
        <v>16</v>
      </c>
      <c r="H211" t="s">
        <v>8</v>
      </c>
      <c r="I211" s="1">
        <v>1</v>
      </c>
      <c r="J211" s="1">
        <v>0</v>
      </c>
      <c r="K211" s="1">
        <f t="shared" si="3"/>
        <v>1</v>
      </c>
    </row>
    <row r="212" spans="1:11" x14ac:dyDescent="0.4">
      <c r="A212" t="s">
        <v>9</v>
      </c>
      <c r="B212" t="s">
        <v>10</v>
      </c>
      <c r="C212" t="s">
        <v>11</v>
      </c>
      <c r="D212" t="s">
        <v>12</v>
      </c>
      <c r="E212" t="s">
        <v>175</v>
      </c>
      <c r="F212" t="s">
        <v>176</v>
      </c>
      <c r="G212" t="s">
        <v>16</v>
      </c>
      <c r="H212" t="s">
        <v>31</v>
      </c>
      <c r="I212" s="1">
        <v>1</v>
      </c>
      <c r="J212" s="1">
        <v>0</v>
      </c>
      <c r="K212" s="1">
        <f t="shared" si="3"/>
        <v>1</v>
      </c>
    </row>
    <row r="213" spans="1:11" hidden="1" x14ac:dyDescent="0.4">
      <c r="A213" t="s">
        <v>9</v>
      </c>
      <c r="B213" t="s">
        <v>10</v>
      </c>
      <c r="C213" t="s">
        <v>11</v>
      </c>
      <c r="D213" t="s">
        <v>12</v>
      </c>
      <c r="E213" t="s">
        <v>175</v>
      </c>
      <c r="F213" t="s">
        <v>176</v>
      </c>
      <c r="G213" t="s">
        <v>16</v>
      </c>
      <c r="H213" t="s">
        <v>8</v>
      </c>
      <c r="I213" s="1">
        <v>1</v>
      </c>
      <c r="J213" s="1">
        <v>0</v>
      </c>
      <c r="K213" s="1">
        <f t="shared" si="3"/>
        <v>1</v>
      </c>
    </row>
    <row r="214" spans="1:11" x14ac:dyDescent="0.4">
      <c r="A214" t="s">
        <v>9</v>
      </c>
      <c r="B214" t="s">
        <v>10</v>
      </c>
      <c r="C214" t="s">
        <v>11</v>
      </c>
      <c r="D214" t="s">
        <v>12</v>
      </c>
      <c r="E214" t="s">
        <v>177</v>
      </c>
      <c r="F214" t="s">
        <v>178</v>
      </c>
      <c r="G214" t="s">
        <v>16</v>
      </c>
      <c r="H214" t="s">
        <v>17</v>
      </c>
      <c r="I214" s="1">
        <v>1</v>
      </c>
      <c r="J214" s="1">
        <v>1</v>
      </c>
      <c r="K214" s="1">
        <f t="shared" si="3"/>
        <v>2</v>
      </c>
    </row>
    <row r="215" spans="1:11" x14ac:dyDescent="0.4">
      <c r="A215" t="s">
        <v>9</v>
      </c>
      <c r="B215" t="s">
        <v>10</v>
      </c>
      <c r="C215" t="s">
        <v>11</v>
      </c>
      <c r="D215" t="s">
        <v>12</v>
      </c>
      <c r="E215" t="s">
        <v>177</v>
      </c>
      <c r="F215" t="s">
        <v>178</v>
      </c>
      <c r="G215" t="s">
        <v>16</v>
      </c>
      <c r="H215" t="s">
        <v>15</v>
      </c>
      <c r="I215" s="1">
        <v>1</v>
      </c>
      <c r="J215" s="1">
        <v>0</v>
      </c>
      <c r="K215" s="1">
        <f t="shared" si="3"/>
        <v>1</v>
      </c>
    </row>
    <row r="216" spans="1:11" x14ac:dyDescent="0.4">
      <c r="A216" t="s">
        <v>9</v>
      </c>
      <c r="B216" t="s">
        <v>10</v>
      </c>
      <c r="C216" t="s">
        <v>11</v>
      </c>
      <c r="D216" t="s">
        <v>12</v>
      </c>
      <c r="E216" t="s">
        <v>177</v>
      </c>
      <c r="F216" t="s">
        <v>178</v>
      </c>
      <c r="G216" t="s">
        <v>16</v>
      </c>
      <c r="H216" t="s">
        <v>31</v>
      </c>
      <c r="I216" s="1">
        <v>1</v>
      </c>
      <c r="J216" s="1">
        <v>0</v>
      </c>
      <c r="K216" s="1">
        <f t="shared" si="3"/>
        <v>1</v>
      </c>
    </row>
    <row r="217" spans="1:11" hidden="1" x14ac:dyDescent="0.4">
      <c r="A217" t="s">
        <v>9</v>
      </c>
      <c r="B217" t="s">
        <v>10</v>
      </c>
      <c r="C217" t="s">
        <v>11</v>
      </c>
      <c r="D217" t="s">
        <v>12</v>
      </c>
      <c r="E217" t="s">
        <v>177</v>
      </c>
      <c r="F217" t="s">
        <v>178</v>
      </c>
      <c r="G217" t="s">
        <v>16</v>
      </c>
      <c r="H217" t="s">
        <v>8</v>
      </c>
      <c r="I217" s="1">
        <v>4</v>
      </c>
      <c r="J217" s="1">
        <v>2</v>
      </c>
      <c r="K217" s="1">
        <f t="shared" si="3"/>
        <v>6</v>
      </c>
    </row>
    <row r="218" spans="1:11" x14ac:dyDescent="0.4">
      <c r="A218" t="s">
        <v>9</v>
      </c>
      <c r="B218" t="s">
        <v>10</v>
      </c>
      <c r="C218" t="s">
        <v>11</v>
      </c>
      <c r="D218" t="s">
        <v>12</v>
      </c>
      <c r="E218" t="s">
        <v>177</v>
      </c>
      <c r="F218" t="s">
        <v>178</v>
      </c>
      <c r="G218" t="s">
        <v>16</v>
      </c>
      <c r="H218" t="s">
        <v>23</v>
      </c>
      <c r="I218" s="1">
        <v>1</v>
      </c>
      <c r="J218" s="1">
        <v>1</v>
      </c>
      <c r="K218" s="1">
        <f t="shared" si="3"/>
        <v>2</v>
      </c>
    </row>
    <row r="219" spans="1:11" x14ac:dyDescent="0.4">
      <c r="A219" t="s">
        <v>9</v>
      </c>
      <c r="B219" t="s">
        <v>10</v>
      </c>
      <c r="C219" t="s">
        <v>11</v>
      </c>
      <c r="D219" t="s">
        <v>12</v>
      </c>
      <c r="E219" t="s">
        <v>179</v>
      </c>
      <c r="F219" t="s">
        <v>180</v>
      </c>
      <c r="G219" t="s">
        <v>16</v>
      </c>
      <c r="H219" t="s">
        <v>37</v>
      </c>
      <c r="I219" s="1">
        <v>0</v>
      </c>
      <c r="J219" s="1">
        <v>1</v>
      </c>
      <c r="K219" s="1">
        <f t="shared" si="3"/>
        <v>1</v>
      </c>
    </row>
    <row r="220" spans="1:11" x14ac:dyDescent="0.4">
      <c r="A220" t="s">
        <v>9</v>
      </c>
      <c r="B220" t="s">
        <v>10</v>
      </c>
      <c r="C220" t="s">
        <v>11</v>
      </c>
      <c r="D220" t="s">
        <v>12</v>
      </c>
      <c r="E220" t="s">
        <v>179</v>
      </c>
      <c r="F220" t="s">
        <v>180</v>
      </c>
      <c r="G220" t="s">
        <v>16</v>
      </c>
      <c r="H220" t="s">
        <v>34</v>
      </c>
      <c r="I220" s="1">
        <v>1</v>
      </c>
      <c r="J220" s="1">
        <v>0</v>
      </c>
      <c r="K220" s="1">
        <f t="shared" si="3"/>
        <v>1</v>
      </c>
    </row>
    <row r="221" spans="1:11" x14ac:dyDescent="0.4">
      <c r="A221" t="s">
        <v>9</v>
      </c>
      <c r="B221" t="s">
        <v>10</v>
      </c>
      <c r="C221" t="s">
        <v>11</v>
      </c>
      <c r="D221" t="s">
        <v>12</v>
      </c>
      <c r="E221" t="s">
        <v>179</v>
      </c>
      <c r="F221" t="s">
        <v>180</v>
      </c>
      <c r="G221" t="s">
        <v>16</v>
      </c>
      <c r="H221" t="s">
        <v>17</v>
      </c>
      <c r="I221" s="1">
        <v>0</v>
      </c>
      <c r="J221" s="1">
        <v>2</v>
      </c>
      <c r="K221" s="1">
        <f t="shared" si="3"/>
        <v>2</v>
      </c>
    </row>
    <row r="222" spans="1:11" hidden="1" x14ac:dyDescent="0.4">
      <c r="A222" t="s">
        <v>9</v>
      </c>
      <c r="B222" t="s">
        <v>10</v>
      </c>
      <c r="C222" t="s">
        <v>11</v>
      </c>
      <c r="D222" t="s">
        <v>12</v>
      </c>
      <c r="E222" t="s">
        <v>179</v>
      </c>
      <c r="F222" t="s">
        <v>180</v>
      </c>
      <c r="G222" t="s">
        <v>16</v>
      </c>
      <c r="H222" t="s">
        <v>8</v>
      </c>
      <c r="I222" s="1">
        <v>2</v>
      </c>
      <c r="J222" s="1">
        <v>3</v>
      </c>
      <c r="K222" s="1">
        <f t="shared" si="3"/>
        <v>5</v>
      </c>
    </row>
    <row r="223" spans="1:11" x14ac:dyDescent="0.4">
      <c r="A223" t="s">
        <v>9</v>
      </c>
      <c r="B223" t="s">
        <v>10</v>
      </c>
      <c r="C223" t="s">
        <v>11</v>
      </c>
      <c r="D223" t="s">
        <v>12</v>
      </c>
      <c r="E223" t="s">
        <v>179</v>
      </c>
      <c r="F223" t="s">
        <v>180</v>
      </c>
      <c r="G223" t="s">
        <v>16</v>
      </c>
      <c r="H223" t="s">
        <v>23</v>
      </c>
      <c r="I223" s="1">
        <v>1</v>
      </c>
      <c r="J223" s="1">
        <v>0</v>
      </c>
      <c r="K223" s="1">
        <f t="shared" si="3"/>
        <v>1</v>
      </c>
    </row>
    <row r="224" spans="1:11" x14ac:dyDescent="0.4">
      <c r="A224" t="s">
        <v>9</v>
      </c>
      <c r="B224" t="s">
        <v>10</v>
      </c>
      <c r="C224" t="s">
        <v>11</v>
      </c>
      <c r="D224" t="s">
        <v>12</v>
      </c>
      <c r="E224" t="s">
        <v>181</v>
      </c>
      <c r="F224" t="s">
        <v>182</v>
      </c>
      <c r="G224" t="s">
        <v>16</v>
      </c>
      <c r="H224" t="s">
        <v>15</v>
      </c>
      <c r="I224" s="1">
        <v>1</v>
      </c>
      <c r="J224" s="1">
        <v>0</v>
      </c>
      <c r="K224" s="1">
        <f t="shared" si="3"/>
        <v>1</v>
      </c>
    </row>
    <row r="225" spans="1:11" hidden="1" x14ac:dyDescent="0.4">
      <c r="A225" t="s">
        <v>9</v>
      </c>
      <c r="B225" t="s">
        <v>10</v>
      </c>
      <c r="C225" t="s">
        <v>11</v>
      </c>
      <c r="D225" t="s">
        <v>12</v>
      </c>
      <c r="E225" t="s">
        <v>181</v>
      </c>
      <c r="F225" t="s">
        <v>182</v>
      </c>
      <c r="G225" t="s">
        <v>16</v>
      </c>
      <c r="H225" t="s">
        <v>8</v>
      </c>
      <c r="I225" s="1">
        <v>1</v>
      </c>
      <c r="J225" s="1">
        <v>0</v>
      </c>
      <c r="K225" s="1">
        <f t="shared" si="3"/>
        <v>1</v>
      </c>
    </row>
    <row r="226" spans="1:11" hidden="1" x14ac:dyDescent="0.4">
      <c r="A226" t="s">
        <v>9</v>
      </c>
      <c r="B226" t="s">
        <v>10</v>
      </c>
      <c r="C226" t="s">
        <v>11</v>
      </c>
      <c r="D226" t="s">
        <v>12</v>
      </c>
      <c r="E226" t="s">
        <v>183</v>
      </c>
      <c r="F226" t="s">
        <v>184</v>
      </c>
      <c r="G226" t="s">
        <v>16</v>
      </c>
      <c r="H226" t="s">
        <v>8</v>
      </c>
      <c r="I226" s="1">
        <v>1</v>
      </c>
      <c r="J226" s="1">
        <v>0</v>
      </c>
      <c r="K226" s="1">
        <f t="shared" si="3"/>
        <v>1</v>
      </c>
    </row>
    <row r="227" spans="1:11" x14ac:dyDescent="0.4">
      <c r="A227" t="s">
        <v>9</v>
      </c>
      <c r="B227" t="s">
        <v>10</v>
      </c>
      <c r="C227" t="s">
        <v>11</v>
      </c>
      <c r="D227" t="s">
        <v>12</v>
      </c>
      <c r="E227" t="s">
        <v>183</v>
      </c>
      <c r="F227" t="s">
        <v>184</v>
      </c>
      <c r="G227" t="s">
        <v>16</v>
      </c>
      <c r="H227" t="s">
        <v>23</v>
      </c>
      <c r="I227" s="1">
        <v>1</v>
      </c>
      <c r="J227" s="1">
        <v>0</v>
      </c>
      <c r="K227" s="1">
        <f t="shared" si="3"/>
        <v>1</v>
      </c>
    </row>
    <row r="228" spans="1:11" x14ac:dyDescent="0.4">
      <c r="A228" t="s">
        <v>9</v>
      </c>
      <c r="B228" t="s">
        <v>10</v>
      </c>
      <c r="C228" t="s">
        <v>11</v>
      </c>
      <c r="D228" t="s">
        <v>12</v>
      </c>
      <c r="E228" t="s">
        <v>185</v>
      </c>
      <c r="F228" t="s">
        <v>186</v>
      </c>
      <c r="G228" t="s">
        <v>16</v>
      </c>
      <c r="H228" t="s">
        <v>37</v>
      </c>
      <c r="I228" s="1">
        <v>1</v>
      </c>
      <c r="J228" s="1">
        <v>0</v>
      </c>
      <c r="K228" s="1">
        <f t="shared" si="3"/>
        <v>1</v>
      </c>
    </row>
    <row r="229" spans="1:11" x14ac:dyDescent="0.4">
      <c r="A229" t="s">
        <v>9</v>
      </c>
      <c r="B229" t="s">
        <v>10</v>
      </c>
      <c r="C229" t="s">
        <v>11</v>
      </c>
      <c r="D229" t="s">
        <v>12</v>
      </c>
      <c r="E229" t="s">
        <v>185</v>
      </c>
      <c r="F229" t="s">
        <v>186</v>
      </c>
      <c r="G229" t="s">
        <v>16</v>
      </c>
      <c r="H229" t="s">
        <v>17</v>
      </c>
      <c r="I229" s="1">
        <v>1</v>
      </c>
      <c r="J229" s="1">
        <v>0</v>
      </c>
      <c r="K229" s="1">
        <f t="shared" si="3"/>
        <v>1</v>
      </c>
    </row>
    <row r="230" spans="1:11" hidden="1" x14ac:dyDescent="0.4">
      <c r="A230" t="s">
        <v>9</v>
      </c>
      <c r="B230" t="s">
        <v>10</v>
      </c>
      <c r="C230" t="s">
        <v>11</v>
      </c>
      <c r="D230" t="s">
        <v>12</v>
      </c>
      <c r="E230" t="s">
        <v>185</v>
      </c>
      <c r="F230" t="s">
        <v>186</v>
      </c>
      <c r="G230" t="s">
        <v>16</v>
      </c>
      <c r="H230" t="s">
        <v>8</v>
      </c>
      <c r="I230" s="1">
        <v>2</v>
      </c>
      <c r="J230" s="1">
        <v>0</v>
      </c>
      <c r="K230" s="1">
        <f t="shared" si="3"/>
        <v>2</v>
      </c>
    </row>
    <row r="231" spans="1:11" hidden="1" x14ac:dyDescent="0.4">
      <c r="A231" t="s">
        <v>9</v>
      </c>
      <c r="B231" t="s">
        <v>10</v>
      </c>
      <c r="C231" t="s">
        <v>11</v>
      </c>
      <c r="D231" t="s">
        <v>12</v>
      </c>
      <c r="E231" t="s">
        <v>187</v>
      </c>
      <c r="F231" t="s">
        <v>188</v>
      </c>
      <c r="G231" t="s">
        <v>16</v>
      </c>
      <c r="H231" t="s">
        <v>8</v>
      </c>
      <c r="I231" s="1">
        <v>0</v>
      </c>
      <c r="J231" s="1">
        <v>1</v>
      </c>
      <c r="K231" s="1">
        <f t="shared" si="3"/>
        <v>1</v>
      </c>
    </row>
    <row r="232" spans="1:11" x14ac:dyDescent="0.4">
      <c r="A232" t="s">
        <v>9</v>
      </c>
      <c r="B232" t="s">
        <v>10</v>
      </c>
      <c r="C232" t="s">
        <v>11</v>
      </c>
      <c r="D232" t="s">
        <v>12</v>
      </c>
      <c r="E232" t="s">
        <v>187</v>
      </c>
      <c r="F232" t="s">
        <v>188</v>
      </c>
      <c r="G232" t="s">
        <v>16</v>
      </c>
      <c r="H232" t="s">
        <v>23</v>
      </c>
      <c r="I232" s="1">
        <v>0</v>
      </c>
      <c r="J232" s="1">
        <v>1</v>
      </c>
      <c r="K232" s="1">
        <f t="shared" si="3"/>
        <v>1</v>
      </c>
    </row>
    <row r="233" spans="1:11" x14ac:dyDescent="0.4">
      <c r="A233" t="s">
        <v>9</v>
      </c>
      <c r="B233" t="s">
        <v>10</v>
      </c>
      <c r="C233" t="s">
        <v>11</v>
      </c>
      <c r="D233" t="s">
        <v>12</v>
      </c>
      <c r="E233" t="s">
        <v>189</v>
      </c>
      <c r="F233" t="s">
        <v>190</v>
      </c>
      <c r="G233" t="s">
        <v>16</v>
      </c>
      <c r="H233" t="s">
        <v>34</v>
      </c>
      <c r="I233" s="1">
        <v>1</v>
      </c>
      <c r="J233" s="1">
        <v>0</v>
      </c>
      <c r="K233" s="1">
        <f t="shared" si="3"/>
        <v>1</v>
      </c>
    </row>
    <row r="234" spans="1:11" x14ac:dyDescent="0.4">
      <c r="A234" t="s">
        <v>9</v>
      </c>
      <c r="B234" t="s">
        <v>10</v>
      </c>
      <c r="C234" t="s">
        <v>11</v>
      </c>
      <c r="D234" t="s">
        <v>12</v>
      </c>
      <c r="E234" t="s">
        <v>189</v>
      </c>
      <c r="F234" t="s">
        <v>190</v>
      </c>
      <c r="G234" t="s">
        <v>16</v>
      </c>
      <c r="H234" t="s">
        <v>15</v>
      </c>
      <c r="I234" s="1">
        <v>1</v>
      </c>
      <c r="J234" s="1">
        <v>0</v>
      </c>
      <c r="K234" s="1">
        <f t="shared" si="3"/>
        <v>1</v>
      </c>
    </row>
    <row r="235" spans="1:11" x14ac:dyDescent="0.4">
      <c r="A235" t="s">
        <v>9</v>
      </c>
      <c r="B235" t="s">
        <v>10</v>
      </c>
      <c r="C235" t="s">
        <v>11</v>
      </c>
      <c r="D235" t="s">
        <v>12</v>
      </c>
      <c r="E235" t="s">
        <v>189</v>
      </c>
      <c r="F235" t="s">
        <v>190</v>
      </c>
      <c r="G235" t="s">
        <v>16</v>
      </c>
      <c r="H235" t="s">
        <v>31</v>
      </c>
      <c r="I235" s="1">
        <v>1</v>
      </c>
      <c r="J235" s="1">
        <v>0</v>
      </c>
      <c r="K235" s="1">
        <f t="shared" si="3"/>
        <v>1</v>
      </c>
    </row>
    <row r="236" spans="1:11" hidden="1" x14ac:dyDescent="0.4">
      <c r="A236" t="s">
        <v>9</v>
      </c>
      <c r="B236" t="s">
        <v>10</v>
      </c>
      <c r="C236" t="s">
        <v>11</v>
      </c>
      <c r="D236" t="s">
        <v>12</v>
      </c>
      <c r="E236" t="s">
        <v>189</v>
      </c>
      <c r="F236" t="s">
        <v>190</v>
      </c>
      <c r="G236" t="s">
        <v>16</v>
      </c>
      <c r="H236" t="s">
        <v>8</v>
      </c>
      <c r="I236" s="1">
        <v>3</v>
      </c>
      <c r="J236" s="1">
        <v>0</v>
      </c>
      <c r="K236" s="1">
        <f t="shared" si="3"/>
        <v>3</v>
      </c>
    </row>
    <row r="237" spans="1:11" x14ac:dyDescent="0.4">
      <c r="A237" t="s">
        <v>9</v>
      </c>
      <c r="B237" t="s">
        <v>10</v>
      </c>
      <c r="C237" t="s">
        <v>11</v>
      </c>
      <c r="D237" t="s">
        <v>12</v>
      </c>
      <c r="E237" t="s">
        <v>191</v>
      </c>
      <c r="F237" t="s">
        <v>192</v>
      </c>
      <c r="G237" t="s">
        <v>16</v>
      </c>
      <c r="H237" t="s">
        <v>17</v>
      </c>
      <c r="I237" s="1">
        <v>1</v>
      </c>
      <c r="J237" s="1">
        <v>2</v>
      </c>
      <c r="K237" s="1">
        <f t="shared" si="3"/>
        <v>3</v>
      </c>
    </row>
    <row r="238" spans="1:11" x14ac:dyDescent="0.4">
      <c r="A238" t="s">
        <v>9</v>
      </c>
      <c r="B238" t="s">
        <v>10</v>
      </c>
      <c r="C238" t="s">
        <v>11</v>
      </c>
      <c r="D238" t="s">
        <v>12</v>
      </c>
      <c r="E238" t="s">
        <v>191</v>
      </c>
      <c r="F238" t="s">
        <v>192</v>
      </c>
      <c r="G238" t="s">
        <v>16</v>
      </c>
      <c r="H238" t="s">
        <v>39</v>
      </c>
      <c r="I238" s="1">
        <v>1</v>
      </c>
      <c r="J238" s="1">
        <v>0</v>
      </c>
      <c r="K238" s="1">
        <f t="shared" si="3"/>
        <v>1</v>
      </c>
    </row>
    <row r="239" spans="1:11" hidden="1" x14ac:dyDescent="0.4">
      <c r="A239" t="s">
        <v>9</v>
      </c>
      <c r="B239" t="s">
        <v>10</v>
      </c>
      <c r="C239" t="s">
        <v>11</v>
      </c>
      <c r="D239" t="s">
        <v>12</v>
      </c>
      <c r="E239" t="s">
        <v>191</v>
      </c>
      <c r="F239" t="s">
        <v>192</v>
      </c>
      <c r="G239" t="s">
        <v>16</v>
      </c>
      <c r="H239" t="s">
        <v>8</v>
      </c>
      <c r="I239" s="1">
        <v>2</v>
      </c>
      <c r="J239" s="1">
        <v>2</v>
      </c>
      <c r="K239" s="1">
        <f t="shared" si="3"/>
        <v>4</v>
      </c>
    </row>
    <row r="240" spans="1:11" x14ac:dyDescent="0.4">
      <c r="A240" t="s">
        <v>9</v>
      </c>
      <c r="B240" t="s">
        <v>10</v>
      </c>
      <c r="C240" t="s">
        <v>11</v>
      </c>
      <c r="D240" t="s">
        <v>12</v>
      </c>
      <c r="E240" t="s">
        <v>193</v>
      </c>
      <c r="F240" t="s">
        <v>194</v>
      </c>
      <c r="G240" t="s">
        <v>16</v>
      </c>
      <c r="H240" t="s">
        <v>34</v>
      </c>
      <c r="I240" s="1">
        <v>1</v>
      </c>
      <c r="J240" s="1">
        <v>0</v>
      </c>
      <c r="K240" s="1">
        <f t="shared" si="3"/>
        <v>1</v>
      </c>
    </row>
    <row r="241" spans="1:11" x14ac:dyDescent="0.4">
      <c r="A241" t="s">
        <v>9</v>
      </c>
      <c r="B241" t="s">
        <v>10</v>
      </c>
      <c r="C241" t="s">
        <v>11</v>
      </c>
      <c r="D241" t="s">
        <v>12</v>
      </c>
      <c r="E241" t="s">
        <v>193</v>
      </c>
      <c r="F241" t="s">
        <v>194</v>
      </c>
      <c r="G241" t="s">
        <v>16</v>
      </c>
      <c r="H241" t="s">
        <v>17</v>
      </c>
      <c r="I241" s="1">
        <v>1</v>
      </c>
      <c r="J241" s="1">
        <v>2</v>
      </c>
      <c r="K241" s="1">
        <f t="shared" si="3"/>
        <v>3</v>
      </c>
    </row>
    <row r="242" spans="1:11" x14ac:dyDescent="0.4">
      <c r="A242" t="s">
        <v>9</v>
      </c>
      <c r="B242" t="s">
        <v>10</v>
      </c>
      <c r="C242" t="s">
        <v>11</v>
      </c>
      <c r="D242" t="s">
        <v>12</v>
      </c>
      <c r="E242" t="s">
        <v>193</v>
      </c>
      <c r="F242" t="s">
        <v>194</v>
      </c>
      <c r="G242" t="s">
        <v>16</v>
      </c>
      <c r="H242" t="s">
        <v>38</v>
      </c>
      <c r="I242" s="1">
        <v>1</v>
      </c>
      <c r="J242" s="1">
        <v>0</v>
      </c>
      <c r="K242" s="1">
        <f t="shared" si="3"/>
        <v>1</v>
      </c>
    </row>
    <row r="243" spans="1:11" x14ac:dyDescent="0.4">
      <c r="A243" t="s">
        <v>9</v>
      </c>
      <c r="B243" t="s">
        <v>10</v>
      </c>
      <c r="C243" t="s">
        <v>11</v>
      </c>
      <c r="D243" t="s">
        <v>12</v>
      </c>
      <c r="E243" t="s">
        <v>193</v>
      </c>
      <c r="F243" t="s">
        <v>194</v>
      </c>
      <c r="G243" t="s">
        <v>16</v>
      </c>
      <c r="H243" t="s">
        <v>18</v>
      </c>
      <c r="I243" s="1">
        <v>1</v>
      </c>
      <c r="J243" s="1">
        <v>0</v>
      </c>
      <c r="K243" s="1">
        <f t="shared" si="3"/>
        <v>1</v>
      </c>
    </row>
    <row r="244" spans="1:11" hidden="1" x14ac:dyDescent="0.4">
      <c r="A244" t="s">
        <v>9</v>
      </c>
      <c r="B244" t="s">
        <v>10</v>
      </c>
      <c r="C244" t="s">
        <v>11</v>
      </c>
      <c r="D244" t="s">
        <v>12</v>
      </c>
      <c r="E244" t="s">
        <v>193</v>
      </c>
      <c r="F244" t="s">
        <v>194</v>
      </c>
      <c r="G244" t="s">
        <v>16</v>
      </c>
      <c r="H244" t="s">
        <v>8</v>
      </c>
      <c r="I244" s="1">
        <v>4</v>
      </c>
      <c r="J244" s="1">
        <v>2</v>
      </c>
      <c r="K244" s="1">
        <f t="shared" si="3"/>
        <v>6</v>
      </c>
    </row>
    <row r="245" spans="1:11" x14ac:dyDescent="0.4">
      <c r="A245" t="s">
        <v>9</v>
      </c>
      <c r="B245" t="s">
        <v>10</v>
      </c>
      <c r="C245" t="s">
        <v>11</v>
      </c>
      <c r="D245" t="s">
        <v>12</v>
      </c>
      <c r="E245" t="s">
        <v>195</v>
      </c>
      <c r="F245" t="s">
        <v>196</v>
      </c>
      <c r="G245" t="s">
        <v>16</v>
      </c>
      <c r="H245" t="s">
        <v>34</v>
      </c>
      <c r="I245" s="1">
        <v>2</v>
      </c>
      <c r="J245" s="1">
        <v>0</v>
      </c>
      <c r="K245" s="1">
        <f t="shared" si="3"/>
        <v>2</v>
      </c>
    </row>
    <row r="246" spans="1:11" x14ac:dyDescent="0.4">
      <c r="A246" t="s">
        <v>9</v>
      </c>
      <c r="B246" t="s">
        <v>10</v>
      </c>
      <c r="C246" t="s">
        <v>11</v>
      </c>
      <c r="D246" t="s">
        <v>12</v>
      </c>
      <c r="E246" t="s">
        <v>195</v>
      </c>
      <c r="F246" t="s">
        <v>196</v>
      </c>
      <c r="G246" t="s">
        <v>16</v>
      </c>
      <c r="H246" t="s">
        <v>15</v>
      </c>
      <c r="I246" s="1">
        <v>1</v>
      </c>
      <c r="J246" s="1">
        <v>0</v>
      </c>
      <c r="K246" s="1">
        <f t="shared" si="3"/>
        <v>1</v>
      </c>
    </row>
    <row r="247" spans="1:11" hidden="1" x14ac:dyDescent="0.4">
      <c r="A247" t="s">
        <v>9</v>
      </c>
      <c r="B247" t="s">
        <v>10</v>
      </c>
      <c r="C247" t="s">
        <v>11</v>
      </c>
      <c r="D247" t="s">
        <v>12</v>
      </c>
      <c r="E247" t="s">
        <v>195</v>
      </c>
      <c r="F247" t="s">
        <v>196</v>
      </c>
      <c r="G247" t="s">
        <v>16</v>
      </c>
      <c r="H247" t="s">
        <v>8</v>
      </c>
      <c r="I247" s="1">
        <v>3</v>
      </c>
      <c r="J247" s="1">
        <v>0</v>
      </c>
      <c r="K247" s="1">
        <f t="shared" si="3"/>
        <v>3</v>
      </c>
    </row>
    <row r="248" spans="1:11" x14ac:dyDescent="0.4">
      <c r="A248" t="s">
        <v>9</v>
      </c>
      <c r="B248" t="s">
        <v>10</v>
      </c>
      <c r="C248" t="s">
        <v>11</v>
      </c>
      <c r="D248" t="s">
        <v>12</v>
      </c>
      <c r="E248" t="s">
        <v>197</v>
      </c>
      <c r="F248" t="s">
        <v>198</v>
      </c>
      <c r="G248" t="s">
        <v>16</v>
      </c>
      <c r="H248" t="s">
        <v>37</v>
      </c>
      <c r="I248" s="1">
        <v>1</v>
      </c>
      <c r="J248" s="1">
        <v>0</v>
      </c>
      <c r="K248" s="1">
        <f t="shared" si="3"/>
        <v>1</v>
      </c>
    </row>
    <row r="249" spans="1:11" x14ac:dyDescent="0.4">
      <c r="A249" t="s">
        <v>9</v>
      </c>
      <c r="B249" t="s">
        <v>10</v>
      </c>
      <c r="C249" t="s">
        <v>11</v>
      </c>
      <c r="D249" t="s">
        <v>12</v>
      </c>
      <c r="E249" t="s">
        <v>197</v>
      </c>
      <c r="F249" t="s">
        <v>198</v>
      </c>
      <c r="G249" t="s">
        <v>16</v>
      </c>
      <c r="H249" t="s">
        <v>15</v>
      </c>
      <c r="I249" s="1">
        <v>1</v>
      </c>
      <c r="J249" s="1">
        <v>0</v>
      </c>
      <c r="K249" s="1">
        <f t="shared" si="3"/>
        <v>1</v>
      </c>
    </row>
    <row r="250" spans="1:11" hidden="1" x14ac:dyDescent="0.4">
      <c r="A250" t="s">
        <v>9</v>
      </c>
      <c r="B250" t="s">
        <v>10</v>
      </c>
      <c r="C250" t="s">
        <v>11</v>
      </c>
      <c r="D250" t="s">
        <v>12</v>
      </c>
      <c r="E250" t="s">
        <v>197</v>
      </c>
      <c r="F250" t="s">
        <v>198</v>
      </c>
      <c r="G250" t="s">
        <v>16</v>
      </c>
      <c r="H250" t="s">
        <v>8</v>
      </c>
      <c r="I250" s="1">
        <v>2</v>
      </c>
      <c r="J250" s="1">
        <v>0</v>
      </c>
      <c r="K250" s="1">
        <f t="shared" si="3"/>
        <v>2</v>
      </c>
    </row>
    <row r="251" spans="1:11" hidden="1" x14ac:dyDescent="0.4">
      <c r="A251" t="s">
        <v>9</v>
      </c>
      <c r="B251" t="s">
        <v>10</v>
      </c>
      <c r="C251" t="s">
        <v>11</v>
      </c>
      <c r="D251" t="s">
        <v>12</v>
      </c>
      <c r="E251" t="s">
        <v>199</v>
      </c>
      <c r="F251" t="s">
        <v>200</v>
      </c>
      <c r="G251" t="s">
        <v>16</v>
      </c>
      <c r="H251" t="s">
        <v>8</v>
      </c>
      <c r="I251" s="1">
        <v>1</v>
      </c>
      <c r="J251" s="1">
        <v>0</v>
      </c>
      <c r="K251" s="1">
        <f t="shared" si="3"/>
        <v>1</v>
      </c>
    </row>
    <row r="252" spans="1:11" x14ac:dyDescent="0.4">
      <c r="A252" t="s">
        <v>9</v>
      </c>
      <c r="B252" t="s">
        <v>10</v>
      </c>
      <c r="C252" t="s">
        <v>11</v>
      </c>
      <c r="D252" t="s">
        <v>12</v>
      </c>
      <c r="E252" t="s">
        <v>199</v>
      </c>
      <c r="F252" t="s">
        <v>200</v>
      </c>
      <c r="G252" t="s">
        <v>16</v>
      </c>
      <c r="H252" t="s">
        <v>23</v>
      </c>
      <c r="I252" s="1">
        <v>1</v>
      </c>
      <c r="J252" s="1">
        <v>0</v>
      </c>
      <c r="K252" s="1">
        <f t="shared" si="3"/>
        <v>1</v>
      </c>
    </row>
    <row r="253" spans="1:11" x14ac:dyDescent="0.4">
      <c r="A253" t="s">
        <v>9</v>
      </c>
      <c r="B253" t="s">
        <v>10</v>
      </c>
      <c r="C253" t="s">
        <v>11</v>
      </c>
      <c r="D253" t="s">
        <v>12</v>
      </c>
      <c r="E253" t="s">
        <v>201</v>
      </c>
      <c r="F253" t="s">
        <v>202</v>
      </c>
      <c r="G253" t="s">
        <v>16</v>
      </c>
      <c r="H253" t="s">
        <v>17</v>
      </c>
      <c r="I253" s="1">
        <v>1</v>
      </c>
      <c r="J253" s="1">
        <v>0</v>
      </c>
      <c r="K253" s="1">
        <f t="shared" si="3"/>
        <v>1</v>
      </c>
    </row>
    <row r="254" spans="1:11" x14ac:dyDescent="0.4">
      <c r="A254" t="s">
        <v>9</v>
      </c>
      <c r="B254" t="s">
        <v>10</v>
      </c>
      <c r="C254" t="s">
        <v>11</v>
      </c>
      <c r="D254" t="s">
        <v>12</v>
      </c>
      <c r="E254" t="s">
        <v>201</v>
      </c>
      <c r="F254" t="s">
        <v>202</v>
      </c>
      <c r="G254" t="s">
        <v>16</v>
      </c>
      <c r="H254" t="s">
        <v>38</v>
      </c>
      <c r="I254" s="1">
        <v>1</v>
      </c>
      <c r="J254" s="1">
        <v>0</v>
      </c>
      <c r="K254" s="1">
        <f t="shared" si="3"/>
        <v>1</v>
      </c>
    </row>
    <row r="255" spans="1:11" hidden="1" x14ac:dyDescent="0.4">
      <c r="A255" t="s">
        <v>9</v>
      </c>
      <c r="B255" t="s">
        <v>10</v>
      </c>
      <c r="C255" t="s">
        <v>11</v>
      </c>
      <c r="D255" t="s">
        <v>12</v>
      </c>
      <c r="E255" t="s">
        <v>201</v>
      </c>
      <c r="F255" t="s">
        <v>202</v>
      </c>
      <c r="G255" t="s">
        <v>16</v>
      </c>
      <c r="H255" t="s">
        <v>8</v>
      </c>
      <c r="I255" s="1">
        <v>2</v>
      </c>
      <c r="J255" s="1">
        <v>0</v>
      </c>
      <c r="K255" s="1">
        <f t="shared" si="3"/>
        <v>2</v>
      </c>
    </row>
    <row r="256" spans="1:11" x14ac:dyDescent="0.4">
      <c r="A256" t="s">
        <v>9</v>
      </c>
      <c r="B256" t="s">
        <v>10</v>
      </c>
      <c r="C256" t="s">
        <v>11</v>
      </c>
      <c r="D256" t="s">
        <v>12</v>
      </c>
      <c r="E256" t="s">
        <v>203</v>
      </c>
      <c r="F256" t="s">
        <v>204</v>
      </c>
      <c r="G256" t="s">
        <v>16</v>
      </c>
      <c r="H256" t="s">
        <v>17</v>
      </c>
      <c r="I256" s="1">
        <v>2</v>
      </c>
      <c r="J256" s="1">
        <v>0</v>
      </c>
      <c r="K256" s="1">
        <f t="shared" si="3"/>
        <v>2</v>
      </c>
    </row>
    <row r="257" spans="1:11" hidden="1" x14ac:dyDescent="0.4">
      <c r="A257" t="s">
        <v>9</v>
      </c>
      <c r="B257" t="s">
        <v>10</v>
      </c>
      <c r="C257" t="s">
        <v>11</v>
      </c>
      <c r="D257" t="s">
        <v>12</v>
      </c>
      <c r="E257" t="s">
        <v>203</v>
      </c>
      <c r="F257" t="s">
        <v>204</v>
      </c>
      <c r="G257" t="s">
        <v>16</v>
      </c>
      <c r="H257" t="s">
        <v>8</v>
      </c>
      <c r="I257" s="1">
        <v>2</v>
      </c>
      <c r="J257" s="1">
        <v>0</v>
      </c>
      <c r="K257" s="1">
        <f t="shared" si="3"/>
        <v>2</v>
      </c>
    </row>
    <row r="258" spans="1:11" x14ac:dyDescent="0.4">
      <c r="A258" t="s">
        <v>9</v>
      </c>
      <c r="B258" t="s">
        <v>10</v>
      </c>
      <c r="C258" t="s">
        <v>11</v>
      </c>
      <c r="D258" t="s">
        <v>12</v>
      </c>
      <c r="E258" t="s">
        <v>205</v>
      </c>
      <c r="F258" t="s">
        <v>206</v>
      </c>
      <c r="G258" t="s">
        <v>16</v>
      </c>
      <c r="H258" t="s">
        <v>15</v>
      </c>
      <c r="I258" s="1">
        <v>1</v>
      </c>
      <c r="J258" s="1">
        <v>0</v>
      </c>
      <c r="K258" s="1">
        <f t="shared" si="3"/>
        <v>1</v>
      </c>
    </row>
    <row r="259" spans="1:11" hidden="1" x14ac:dyDescent="0.4">
      <c r="A259" t="s">
        <v>9</v>
      </c>
      <c r="B259" t="s">
        <v>10</v>
      </c>
      <c r="C259" t="s">
        <v>11</v>
      </c>
      <c r="D259" t="s">
        <v>12</v>
      </c>
      <c r="E259" t="s">
        <v>205</v>
      </c>
      <c r="F259" t="s">
        <v>206</v>
      </c>
      <c r="G259" t="s">
        <v>16</v>
      </c>
      <c r="H259" t="s">
        <v>8</v>
      </c>
      <c r="I259" s="1">
        <v>1</v>
      </c>
      <c r="J259" s="1">
        <v>0</v>
      </c>
      <c r="K259" s="1">
        <f t="shared" ref="K259:K322" si="4">SUM(I259,J259)</f>
        <v>1</v>
      </c>
    </row>
    <row r="260" spans="1:11" x14ac:dyDescent="0.4">
      <c r="A260" t="s">
        <v>9</v>
      </c>
      <c r="B260" t="s">
        <v>10</v>
      </c>
      <c r="C260" t="s">
        <v>11</v>
      </c>
      <c r="D260" t="s">
        <v>12</v>
      </c>
      <c r="E260" t="s">
        <v>207</v>
      </c>
      <c r="F260" t="s">
        <v>208</v>
      </c>
      <c r="G260" t="s">
        <v>16</v>
      </c>
      <c r="H260" t="s">
        <v>37</v>
      </c>
      <c r="I260" s="1">
        <v>515</v>
      </c>
      <c r="J260" s="1">
        <v>105</v>
      </c>
      <c r="K260" s="1">
        <f t="shared" si="4"/>
        <v>620</v>
      </c>
    </row>
    <row r="261" spans="1:11" x14ac:dyDescent="0.4">
      <c r="A261" t="s">
        <v>9</v>
      </c>
      <c r="B261" t="s">
        <v>10</v>
      </c>
      <c r="C261" t="s">
        <v>11</v>
      </c>
      <c r="D261" t="s">
        <v>12</v>
      </c>
      <c r="E261" t="s">
        <v>207</v>
      </c>
      <c r="F261" t="s">
        <v>208</v>
      </c>
      <c r="G261" t="s">
        <v>16</v>
      </c>
      <c r="H261" t="s">
        <v>34</v>
      </c>
      <c r="I261" s="1">
        <v>1133</v>
      </c>
      <c r="J261" s="1">
        <v>31</v>
      </c>
      <c r="K261" s="1">
        <f t="shared" si="4"/>
        <v>1164</v>
      </c>
    </row>
    <row r="262" spans="1:11" x14ac:dyDescent="0.4">
      <c r="A262" t="s">
        <v>9</v>
      </c>
      <c r="B262" t="s">
        <v>10</v>
      </c>
      <c r="C262" t="s">
        <v>11</v>
      </c>
      <c r="D262" t="s">
        <v>12</v>
      </c>
      <c r="E262" t="s">
        <v>207</v>
      </c>
      <c r="F262" t="s">
        <v>208</v>
      </c>
      <c r="G262" t="s">
        <v>16</v>
      </c>
      <c r="H262" t="s">
        <v>17</v>
      </c>
      <c r="I262" s="1">
        <v>1555</v>
      </c>
      <c r="J262" s="1">
        <v>759</v>
      </c>
      <c r="K262" s="1">
        <f t="shared" si="4"/>
        <v>2314</v>
      </c>
    </row>
    <row r="263" spans="1:11" x14ac:dyDescent="0.4">
      <c r="A263" t="s">
        <v>9</v>
      </c>
      <c r="B263" t="s">
        <v>10</v>
      </c>
      <c r="C263" t="s">
        <v>11</v>
      </c>
      <c r="D263" t="s">
        <v>12</v>
      </c>
      <c r="E263" t="s">
        <v>207</v>
      </c>
      <c r="F263" t="s">
        <v>208</v>
      </c>
      <c r="G263" t="s">
        <v>16</v>
      </c>
      <c r="H263" t="s">
        <v>15</v>
      </c>
      <c r="I263" s="1">
        <v>239</v>
      </c>
      <c r="J263" s="1">
        <v>72</v>
      </c>
      <c r="K263" s="1">
        <f t="shared" si="4"/>
        <v>311</v>
      </c>
    </row>
    <row r="264" spans="1:11" x14ac:dyDescent="0.4">
      <c r="A264" t="s">
        <v>9</v>
      </c>
      <c r="B264" t="s">
        <v>10</v>
      </c>
      <c r="C264" t="s">
        <v>11</v>
      </c>
      <c r="D264" t="s">
        <v>12</v>
      </c>
      <c r="E264" t="s">
        <v>207</v>
      </c>
      <c r="F264" t="s">
        <v>208</v>
      </c>
      <c r="G264" t="s">
        <v>16</v>
      </c>
      <c r="H264" t="s">
        <v>38</v>
      </c>
      <c r="I264" s="1">
        <v>635</v>
      </c>
      <c r="J264" s="1">
        <v>46</v>
      </c>
      <c r="K264" s="1">
        <f t="shared" si="4"/>
        <v>681</v>
      </c>
    </row>
    <row r="265" spans="1:11" x14ac:dyDescent="0.4">
      <c r="A265" t="s">
        <v>9</v>
      </c>
      <c r="B265" t="s">
        <v>10</v>
      </c>
      <c r="C265" t="s">
        <v>11</v>
      </c>
      <c r="D265" t="s">
        <v>12</v>
      </c>
      <c r="E265" t="s">
        <v>207</v>
      </c>
      <c r="F265" t="s">
        <v>208</v>
      </c>
      <c r="G265" t="s">
        <v>16</v>
      </c>
      <c r="H265" t="s">
        <v>211</v>
      </c>
      <c r="I265" s="1">
        <v>18</v>
      </c>
      <c r="J265" s="1">
        <v>0</v>
      </c>
      <c r="K265" s="1">
        <f t="shared" si="4"/>
        <v>18</v>
      </c>
    </row>
    <row r="266" spans="1:11" x14ac:dyDescent="0.4">
      <c r="A266" t="s">
        <v>9</v>
      </c>
      <c r="B266" t="s">
        <v>10</v>
      </c>
      <c r="C266" t="s">
        <v>11</v>
      </c>
      <c r="D266" t="s">
        <v>12</v>
      </c>
      <c r="E266" t="s">
        <v>207</v>
      </c>
      <c r="F266" t="s">
        <v>208</v>
      </c>
      <c r="G266" t="s">
        <v>16</v>
      </c>
      <c r="H266" t="s">
        <v>209</v>
      </c>
      <c r="I266" s="1">
        <v>25</v>
      </c>
      <c r="J266" s="1">
        <v>0</v>
      </c>
      <c r="K266" s="1">
        <f t="shared" si="4"/>
        <v>25</v>
      </c>
    </row>
    <row r="267" spans="1:11" x14ac:dyDescent="0.4">
      <c r="A267" t="s">
        <v>9</v>
      </c>
      <c r="B267" t="s">
        <v>10</v>
      </c>
      <c r="C267" t="s">
        <v>11</v>
      </c>
      <c r="D267" t="s">
        <v>12</v>
      </c>
      <c r="E267" t="s">
        <v>207</v>
      </c>
      <c r="F267" t="s">
        <v>208</v>
      </c>
      <c r="G267" t="s">
        <v>16</v>
      </c>
      <c r="H267" t="s">
        <v>39</v>
      </c>
      <c r="I267" s="1">
        <v>279</v>
      </c>
      <c r="J267" s="1">
        <v>31</v>
      </c>
      <c r="K267" s="1">
        <f t="shared" si="4"/>
        <v>310</v>
      </c>
    </row>
    <row r="268" spans="1:11" x14ac:dyDescent="0.4">
      <c r="A268" t="s">
        <v>9</v>
      </c>
      <c r="B268" t="s">
        <v>10</v>
      </c>
      <c r="C268" t="s">
        <v>11</v>
      </c>
      <c r="D268" t="s">
        <v>12</v>
      </c>
      <c r="E268" t="s">
        <v>207</v>
      </c>
      <c r="F268" t="s">
        <v>208</v>
      </c>
      <c r="G268" t="s">
        <v>16</v>
      </c>
      <c r="H268" t="s">
        <v>51</v>
      </c>
      <c r="I268" s="1">
        <v>352</v>
      </c>
      <c r="J268" s="1">
        <v>9</v>
      </c>
      <c r="K268" s="1">
        <f t="shared" si="4"/>
        <v>361</v>
      </c>
    </row>
    <row r="269" spans="1:11" x14ac:dyDescent="0.4">
      <c r="A269" t="s">
        <v>9</v>
      </c>
      <c r="B269" t="s">
        <v>10</v>
      </c>
      <c r="C269" t="s">
        <v>11</v>
      </c>
      <c r="D269" t="s">
        <v>12</v>
      </c>
      <c r="E269" t="s">
        <v>207</v>
      </c>
      <c r="F269" t="s">
        <v>208</v>
      </c>
      <c r="G269" t="s">
        <v>16</v>
      </c>
      <c r="H269" t="s">
        <v>28</v>
      </c>
      <c r="I269" s="1">
        <v>520</v>
      </c>
      <c r="J269" s="1">
        <v>11</v>
      </c>
      <c r="K269" s="1">
        <f t="shared" si="4"/>
        <v>531</v>
      </c>
    </row>
    <row r="270" spans="1:11" x14ac:dyDescent="0.4">
      <c r="A270" t="s">
        <v>9</v>
      </c>
      <c r="B270" t="s">
        <v>10</v>
      </c>
      <c r="C270" t="s">
        <v>11</v>
      </c>
      <c r="D270" t="s">
        <v>12</v>
      </c>
      <c r="E270" t="s">
        <v>207</v>
      </c>
      <c r="F270" t="s">
        <v>208</v>
      </c>
      <c r="G270" t="s">
        <v>16</v>
      </c>
      <c r="H270" t="s">
        <v>160</v>
      </c>
      <c r="I270" s="1">
        <v>325</v>
      </c>
      <c r="J270" s="1">
        <v>28</v>
      </c>
      <c r="K270" s="1">
        <f t="shared" si="4"/>
        <v>353</v>
      </c>
    </row>
    <row r="271" spans="1:11" x14ac:dyDescent="0.4">
      <c r="A271" t="s">
        <v>9</v>
      </c>
      <c r="B271" t="s">
        <v>10</v>
      </c>
      <c r="C271" t="s">
        <v>11</v>
      </c>
      <c r="D271" t="s">
        <v>12</v>
      </c>
      <c r="E271" t="s">
        <v>207</v>
      </c>
      <c r="F271" t="s">
        <v>208</v>
      </c>
      <c r="G271" t="s">
        <v>16</v>
      </c>
      <c r="H271" t="s">
        <v>31</v>
      </c>
      <c r="I271" s="1">
        <v>898</v>
      </c>
      <c r="J271" s="1">
        <v>79</v>
      </c>
      <c r="K271" s="1">
        <f t="shared" si="4"/>
        <v>977</v>
      </c>
    </row>
    <row r="272" spans="1:11" x14ac:dyDescent="0.4">
      <c r="A272" t="s">
        <v>9</v>
      </c>
      <c r="B272" t="s">
        <v>10</v>
      </c>
      <c r="C272" t="s">
        <v>11</v>
      </c>
      <c r="D272" t="s">
        <v>12</v>
      </c>
      <c r="E272" t="s">
        <v>207</v>
      </c>
      <c r="F272" t="s">
        <v>208</v>
      </c>
      <c r="G272" t="s">
        <v>16</v>
      </c>
      <c r="H272" t="s">
        <v>40</v>
      </c>
      <c r="I272" s="1">
        <v>199</v>
      </c>
      <c r="J272" s="1">
        <v>9</v>
      </c>
      <c r="K272" s="1">
        <f t="shared" si="4"/>
        <v>208</v>
      </c>
    </row>
    <row r="273" spans="1:11" x14ac:dyDescent="0.4">
      <c r="A273" t="s">
        <v>9</v>
      </c>
      <c r="B273" t="s">
        <v>10</v>
      </c>
      <c r="C273" t="s">
        <v>11</v>
      </c>
      <c r="D273" t="s">
        <v>12</v>
      </c>
      <c r="E273" t="s">
        <v>207</v>
      </c>
      <c r="F273" t="s">
        <v>208</v>
      </c>
      <c r="G273" t="s">
        <v>16</v>
      </c>
      <c r="H273" t="s">
        <v>210</v>
      </c>
      <c r="I273" s="1">
        <v>36</v>
      </c>
      <c r="J273" s="1">
        <v>1</v>
      </c>
      <c r="K273" s="1">
        <f t="shared" si="4"/>
        <v>37</v>
      </c>
    </row>
    <row r="274" spans="1:11" x14ac:dyDescent="0.4">
      <c r="A274" t="s">
        <v>9</v>
      </c>
      <c r="B274" t="s">
        <v>10</v>
      </c>
      <c r="C274" t="s">
        <v>11</v>
      </c>
      <c r="D274" t="s">
        <v>12</v>
      </c>
      <c r="E274" t="s">
        <v>207</v>
      </c>
      <c r="F274" t="s">
        <v>208</v>
      </c>
      <c r="G274" t="s">
        <v>16</v>
      </c>
      <c r="H274" t="s">
        <v>18</v>
      </c>
      <c r="I274" s="1">
        <v>1198</v>
      </c>
      <c r="J274" s="1">
        <v>111</v>
      </c>
      <c r="K274" s="1">
        <f t="shared" si="4"/>
        <v>1309</v>
      </c>
    </row>
    <row r="275" spans="1:11" hidden="1" x14ac:dyDescent="0.4">
      <c r="A275" t="s">
        <v>9</v>
      </c>
      <c r="B275" t="s">
        <v>10</v>
      </c>
      <c r="C275" t="s">
        <v>11</v>
      </c>
      <c r="D275" t="s">
        <v>12</v>
      </c>
      <c r="E275" t="s">
        <v>207</v>
      </c>
      <c r="F275" t="s">
        <v>208</v>
      </c>
      <c r="G275" t="s">
        <v>16</v>
      </c>
      <c r="H275" t="s">
        <v>8</v>
      </c>
      <c r="I275" s="1">
        <v>10105</v>
      </c>
      <c r="J275" s="1">
        <v>1472</v>
      </c>
      <c r="K275" s="1">
        <f t="shared" si="4"/>
        <v>11577</v>
      </c>
    </row>
    <row r="276" spans="1:11" x14ac:dyDescent="0.4">
      <c r="A276" t="s">
        <v>9</v>
      </c>
      <c r="B276" t="s">
        <v>10</v>
      </c>
      <c r="C276" t="s">
        <v>11</v>
      </c>
      <c r="D276" t="s">
        <v>12</v>
      </c>
      <c r="E276" t="s">
        <v>207</v>
      </c>
      <c r="F276" t="s">
        <v>208</v>
      </c>
      <c r="G276" t="s">
        <v>16</v>
      </c>
      <c r="H276" t="s">
        <v>23</v>
      </c>
      <c r="I276" s="1">
        <v>2178</v>
      </c>
      <c r="J276" s="1">
        <v>180</v>
      </c>
      <c r="K276" s="1">
        <f t="shared" si="4"/>
        <v>2358</v>
      </c>
    </row>
    <row r="277" spans="1:11" x14ac:dyDescent="0.4">
      <c r="A277" t="s">
        <v>9</v>
      </c>
      <c r="B277" t="s">
        <v>10</v>
      </c>
      <c r="C277" t="s">
        <v>11</v>
      </c>
      <c r="D277" t="s">
        <v>12</v>
      </c>
      <c r="E277" t="s">
        <v>212</v>
      </c>
      <c r="F277" t="s">
        <v>213</v>
      </c>
      <c r="G277" t="s">
        <v>16</v>
      </c>
      <c r="H277" t="s">
        <v>37</v>
      </c>
      <c r="I277" s="1">
        <v>2</v>
      </c>
      <c r="J277" s="1">
        <v>0</v>
      </c>
      <c r="K277" s="1">
        <f t="shared" si="4"/>
        <v>2</v>
      </c>
    </row>
    <row r="278" spans="1:11" x14ac:dyDescent="0.4">
      <c r="A278" t="s">
        <v>9</v>
      </c>
      <c r="B278" t="s">
        <v>10</v>
      </c>
      <c r="C278" t="s">
        <v>11</v>
      </c>
      <c r="D278" t="s">
        <v>12</v>
      </c>
      <c r="E278" t="s">
        <v>212</v>
      </c>
      <c r="F278" t="s">
        <v>213</v>
      </c>
      <c r="G278" t="s">
        <v>16</v>
      </c>
      <c r="H278" t="s">
        <v>34</v>
      </c>
      <c r="I278" s="1">
        <v>26</v>
      </c>
      <c r="J278" s="1">
        <v>0</v>
      </c>
      <c r="K278" s="1">
        <f t="shared" si="4"/>
        <v>26</v>
      </c>
    </row>
    <row r="279" spans="1:11" x14ac:dyDescent="0.4">
      <c r="A279" t="s">
        <v>9</v>
      </c>
      <c r="B279" t="s">
        <v>10</v>
      </c>
      <c r="C279" t="s">
        <v>11</v>
      </c>
      <c r="D279" t="s">
        <v>12</v>
      </c>
      <c r="E279" t="s">
        <v>212</v>
      </c>
      <c r="F279" t="s">
        <v>213</v>
      </c>
      <c r="G279" t="s">
        <v>16</v>
      </c>
      <c r="H279" t="s">
        <v>17</v>
      </c>
      <c r="I279" s="1">
        <v>10</v>
      </c>
      <c r="J279" s="1">
        <v>3</v>
      </c>
      <c r="K279" s="1">
        <f t="shared" si="4"/>
        <v>13</v>
      </c>
    </row>
    <row r="280" spans="1:11" x14ac:dyDescent="0.4">
      <c r="A280" t="s">
        <v>9</v>
      </c>
      <c r="B280" t="s">
        <v>10</v>
      </c>
      <c r="C280" t="s">
        <v>11</v>
      </c>
      <c r="D280" t="s">
        <v>12</v>
      </c>
      <c r="E280" t="s">
        <v>212</v>
      </c>
      <c r="F280" t="s">
        <v>213</v>
      </c>
      <c r="G280" t="s">
        <v>16</v>
      </c>
      <c r="H280" t="s">
        <v>15</v>
      </c>
      <c r="I280" s="1">
        <v>8</v>
      </c>
      <c r="J280" s="1">
        <v>5</v>
      </c>
      <c r="K280" s="1">
        <f t="shared" si="4"/>
        <v>13</v>
      </c>
    </row>
    <row r="281" spans="1:11" x14ac:dyDescent="0.4">
      <c r="A281" t="s">
        <v>9</v>
      </c>
      <c r="B281" t="s">
        <v>10</v>
      </c>
      <c r="C281" t="s">
        <v>11</v>
      </c>
      <c r="D281" t="s">
        <v>12</v>
      </c>
      <c r="E281" t="s">
        <v>212</v>
      </c>
      <c r="F281" t="s">
        <v>213</v>
      </c>
      <c r="G281" t="s">
        <v>16</v>
      </c>
      <c r="H281" t="s">
        <v>38</v>
      </c>
      <c r="I281" s="1">
        <v>5</v>
      </c>
      <c r="J281" s="1">
        <v>0</v>
      </c>
      <c r="K281" s="1">
        <f t="shared" si="4"/>
        <v>5</v>
      </c>
    </row>
    <row r="282" spans="1:11" x14ac:dyDescent="0.4">
      <c r="A282" t="s">
        <v>9</v>
      </c>
      <c r="B282" t="s">
        <v>10</v>
      </c>
      <c r="C282" t="s">
        <v>11</v>
      </c>
      <c r="D282" t="s">
        <v>12</v>
      </c>
      <c r="E282" t="s">
        <v>212</v>
      </c>
      <c r="F282" t="s">
        <v>213</v>
      </c>
      <c r="G282" t="s">
        <v>16</v>
      </c>
      <c r="H282" t="s">
        <v>160</v>
      </c>
      <c r="I282" s="1">
        <v>2</v>
      </c>
      <c r="J282" s="1">
        <v>0</v>
      </c>
      <c r="K282" s="1">
        <f t="shared" si="4"/>
        <v>2</v>
      </c>
    </row>
    <row r="283" spans="1:11" x14ac:dyDescent="0.4">
      <c r="A283" t="s">
        <v>9</v>
      </c>
      <c r="B283" t="s">
        <v>10</v>
      </c>
      <c r="C283" t="s">
        <v>11</v>
      </c>
      <c r="D283" t="s">
        <v>12</v>
      </c>
      <c r="E283" t="s">
        <v>212</v>
      </c>
      <c r="F283" t="s">
        <v>213</v>
      </c>
      <c r="G283" t="s">
        <v>16</v>
      </c>
      <c r="H283" t="s">
        <v>31</v>
      </c>
      <c r="I283" s="1">
        <v>10</v>
      </c>
      <c r="J283" s="1">
        <v>4</v>
      </c>
      <c r="K283" s="1">
        <f t="shared" si="4"/>
        <v>14</v>
      </c>
    </row>
    <row r="284" spans="1:11" x14ac:dyDescent="0.4">
      <c r="A284" t="s">
        <v>9</v>
      </c>
      <c r="B284" t="s">
        <v>10</v>
      </c>
      <c r="C284" t="s">
        <v>11</v>
      </c>
      <c r="D284" t="s">
        <v>12</v>
      </c>
      <c r="E284" t="s">
        <v>212</v>
      </c>
      <c r="F284" t="s">
        <v>213</v>
      </c>
      <c r="G284" t="s">
        <v>16</v>
      </c>
      <c r="H284" t="s">
        <v>18</v>
      </c>
      <c r="I284" s="1">
        <v>2</v>
      </c>
      <c r="J284" s="1">
        <v>0</v>
      </c>
      <c r="K284" s="1">
        <f t="shared" si="4"/>
        <v>2</v>
      </c>
    </row>
    <row r="285" spans="1:11" hidden="1" x14ac:dyDescent="0.4">
      <c r="A285" t="s">
        <v>9</v>
      </c>
      <c r="B285" t="s">
        <v>10</v>
      </c>
      <c r="C285" t="s">
        <v>11</v>
      </c>
      <c r="D285" t="s">
        <v>12</v>
      </c>
      <c r="E285" t="s">
        <v>212</v>
      </c>
      <c r="F285" t="s">
        <v>213</v>
      </c>
      <c r="G285" t="s">
        <v>16</v>
      </c>
      <c r="H285" t="s">
        <v>8</v>
      </c>
      <c r="I285" s="1">
        <v>76</v>
      </c>
      <c r="J285" s="1">
        <v>12</v>
      </c>
      <c r="K285" s="1">
        <f t="shared" si="4"/>
        <v>88</v>
      </c>
    </row>
    <row r="286" spans="1:11" x14ac:dyDescent="0.4">
      <c r="A286" t="s">
        <v>9</v>
      </c>
      <c r="B286" t="s">
        <v>10</v>
      </c>
      <c r="C286" t="s">
        <v>11</v>
      </c>
      <c r="D286" t="s">
        <v>12</v>
      </c>
      <c r="E286" t="s">
        <v>212</v>
      </c>
      <c r="F286" t="s">
        <v>213</v>
      </c>
      <c r="G286" t="s">
        <v>16</v>
      </c>
      <c r="H286" t="s">
        <v>23</v>
      </c>
      <c r="I286" s="1">
        <v>11</v>
      </c>
      <c r="J286" s="1">
        <v>0</v>
      </c>
      <c r="K286" s="1">
        <f t="shared" si="4"/>
        <v>11</v>
      </c>
    </row>
    <row r="287" spans="1:11" x14ac:dyDescent="0.4">
      <c r="A287" t="s">
        <v>9</v>
      </c>
      <c r="B287" t="s">
        <v>10</v>
      </c>
      <c r="C287" t="s">
        <v>11</v>
      </c>
      <c r="D287" t="s">
        <v>12</v>
      </c>
      <c r="E287" t="s">
        <v>214</v>
      </c>
      <c r="F287" t="s">
        <v>215</v>
      </c>
      <c r="G287" t="s">
        <v>16</v>
      </c>
      <c r="H287" t="s">
        <v>37</v>
      </c>
      <c r="I287" s="1">
        <v>137</v>
      </c>
      <c r="J287" s="1">
        <v>33</v>
      </c>
      <c r="K287" s="1">
        <f t="shared" si="4"/>
        <v>170</v>
      </c>
    </row>
    <row r="288" spans="1:11" x14ac:dyDescent="0.4">
      <c r="A288" t="s">
        <v>9</v>
      </c>
      <c r="B288" t="s">
        <v>10</v>
      </c>
      <c r="C288" t="s">
        <v>11</v>
      </c>
      <c r="D288" t="s">
        <v>12</v>
      </c>
      <c r="E288" t="s">
        <v>214</v>
      </c>
      <c r="F288" t="s">
        <v>215</v>
      </c>
      <c r="G288" t="s">
        <v>16</v>
      </c>
      <c r="H288" t="s">
        <v>34</v>
      </c>
      <c r="I288" s="1">
        <v>281</v>
      </c>
      <c r="J288" s="1">
        <v>10</v>
      </c>
      <c r="K288" s="1">
        <f t="shared" si="4"/>
        <v>291</v>
      </c>
    </row>
    <row r="289" spans="1:11" x14ac:dyDescent="0.4">
      <c r="A289" t="s">
        <v>9</v>
      </c>
      <c r="B289" t="s">
        <v>10</v>
      </c>
      <c r="C289" t="s">
        <v>11</v>
      </c>
      <c r="D289" t="s">
        <v>12</v>
      </c>
      <c r="E289" t="s">
        <v>214</v>
      </c>
      <c r="F289" t="s">
        <v>215</v>
      </c>
      <c r="G289" t="s">
        <v>16</v>
      </c>
      <c r="H289" t="s">
        <v>17</v>
      </c>
      <c r="I289" s="1">
        <v>475</v>
      </c>
      <c r="J289" s="1">
        <v>264</v>
      </c>
      <c r="K289" s="1">
        <f t="shared" si="4"/>
        <v>739</v>
      </c>
    </row>
    <row r="290" spans="1:11" x14ac:dyDescent="0.4">
      <c r="A290" t="s">
        <v>9</v>
      </c>
      <c r="B290" t="s">
        <v>10</v>
      </c>
      <c r="C290" t="s">
        <v>11</v>
      </c>
      <c r="D290" t="s">
        <v>12</v>
      </c>
      <c r="E290" t="s">
        <v>214</v>
      </c>
      <c r="F290" t="s">
        <v>215</v>
      </c>
      <c r="G290" t="s">
        <v>16</v>
      </c>
      <c r="H290" t="s">
        <v>15</v>
      </c>
      <c r="I290" s="1">
        <v>89</v>
      </c>
      <c r="J290" s="1">
        <v>20</v>
      </c>
      <c r="K290" s="1">
        <f t="shared" si="4"/>
        <v>109</v>
      </c>
    </row>
    <row r="291" spans="1:11" x14ac:dyDescent="0.4">
      <c r="A291" t="s">
        <v>9</v>
      </c>
      <c r="B291" t="s">
        <v>10</v>
      </c>
      <c r="C291" t="s">
        <v>11</v>
      </c>
      <c r="D291" t="s">
        <v>12</v>
      </c>
      <c r="E291" t="s">
        <v>214</v>
      </c>
      <c r="F291" t="s">
        <v>215</v>
      </c>
      <c r="G291" t="s">
        <v>16</v>
      </c>
      <c r="H291" t="s">
        <v>38</v>
      </c>
      <c r="I291" s="1">
        <v>244</v>
      </c>
      <c r="J291" s="1">
        <v>15</v>
      </c>
      <c r="K291" s="1">
        <f t="shared" si="4"/>
        <v>259</v>
      </c>
    </row>
    <row r="292" spans="1:11" x14ac:dyDescent="0.4">
      <c r="A292" t="s">
        <v>9</v>
      </c>
      <c r="B292" t="s">
        <v>10</v>
      </c>
      <c r="C292" t="s">
        <v>11</v>
      </c>
      <c r="D292" t="s">
        <v>12</v>
      </c>
      <c r="E292" t="s">
        <v>214</v>
      </c>
      <c r="F292" t="s">
        <v>215</v>
      </c>
      <c r="G292" t="s">
        <v>16</v>
      </c>
      <c r="H292" t="s">
        <v>211</v>
      </c>
      <c r="I292" s="1">
        <v>6</v>
      </c>
      <c r="J292" s="1">
        <v>0</v>
      </c>
      <c r="K292" s="1">
        <f t="shared" si="4"/>
        <v>6</v>
      </c>
    </row>
    <row r="293" spans="1:11" x14ac:dyDescent="0.4">
      <c r="A293" t="s">
        <v>9</v>
      </c>
      <c r="B293" t="s">
        <v>10</v>
      </c>
      <c r="C293" t="s">
        <v>11</v>
      </c>
      <c r="D293" t="s">
        <v>12</v>
      </c>
      <c r="E293" t="s">
        <v>214</v>
      </c>
      <c r="F293" t="s">
        <v>215</v>
      </c>
      <c r="G293" t="s">
        <v>16</v>
      </c>
      <c r="H293" t="s">
        <v>209</v>
      </c>
      <c r="I293" s="1">
        <v>11</v>
      </c>
      <c r="J293" s="1">
        <v>0</v>
      </c>
      <c r="K293" s="1">
        <f t="shared" si="4"/>
        <v>11</v>
      </c>
    </row>
    <row r="294" spans="1:11" x14ac:dyDescent="0.4">
      <c r="A294" t="s">
        <v>9</v>
      </c>
      <c r="B294" t="s">
        <v>10</v>
      </c>
      <c r="C294" t="s">
        <v>11</v>
      </c>
      <c r="D294" t="s">
        <v>12</v>
      </c>
      <c r="E294" t="s">
        <v>214</v>
      </c>
      <c r="F294" t="s">
        <v>215</v>
      </c>
      <c r="G294" t="s">
        <v>16</v>
      </c>
      <c r="H294" t="s">
        <v>39</v>
      </c>
      <c r="I294" s="1">
        <v>88</v>
      </c>
      <c r="J294" s="1">
        <v>3</v>
      </c>
      <c r="K294" s="1">
        <f t="shared" si="4"/>
        <v>91</v>
      </c>
    </row>
    <row r="295" spans="1:11" x14ac:dyDescent="0.4">
      <c r="A295" t="s">
        <v>9</v>
      </c>
      <c r="B295" t="s">
        <v>10</v>
      </c>
      <c r="C295" t="s">
        <v>11</v>
      </c>
      <c r="D295" t="s">
        <v>12</v>
      </c>
      <c r="E295" t="s">
        <v>214</v>
      </c>
      <c r="F295" t="s">
        <v>215</v>
      </c>
      <c r="G295" t="s">
        <v>16</v>
      </c>
      <c r="H295" t="s">
        <v>51</v>
      </c>
      <c r="I295" s="1">
        <v>126</v>
      </c>
      <c r="J295" s="1">
        <v>2</v>
      </c>
      <c r="K295" s="1">
        <f t="shared" si="4"/>
        <v>128</v>
      </c>
    </row>
    <row r="296" spans="1:11" x14ac:dyDescent="0.4">
      <c r="A296" t="s">
        <v>9</v>
      </c>
      <c r="B296" t="s">
        <v>10</v>
      </c>
      <c r="C296" t="s">
        <v>11</v>
      </c>
      <c r="D296" t="s">
        <v>12</v>
      </c>
      <c r="E296" t="s">
        <v>214</v>
      </c>
      <c r="F296" t="s">
        <v>215</v>
      </c>
      <c r="G296" t="s">
        <v>16</v>
      </c>
      <c r="H296" t="s">
        <v>28</v>
      </c>
      <c r="I296" s="1">
        <v>196</v>
      </c>
      <c r="J296" s="1">
        <v>4</v>
      </c>
      <c r="K296" s="1">
        <f t="shared" si="4"/>
        <v>200</v>
      </c>
    </row>
    <row r="297" spans="1:11" x14ac:dyDescent="0.4">
      <c r="A297" t="s">
        <v>9</v>
      </c>
      <c r="B297" t="s">
        <v>10</v>
      </c>
      <c r="C297" t="s">
        <v>11</v>
      </c>
      <c r="D297" t="s">
        <v>12</v>
      </c>
      <c r="E297" t="s">
        <v>214</v>
      </c>
      <c r="F297" t="s">
        <v>215</v>
      </c>
      <c r="G297" t="s">
        <v>16</v>
      </c>
      <c r="H297" t="s">
        <v>160</v>
      </c>
      <c r="I297" s="1">
        <v>106</v>
      </c>
      <c r="J297" s="1">
        <v>13</v>
      </c>
      <c r="K297" s="1">
        <f t="shared" si="4"/>
        <v>119</v>
      </c>
    </row>
    <row r="298" spans="1:11" x14ac:dyDescent="0.4">
      <c r="A298" t="s">
        <v>9</v>
      </c>
      <c r="B298" t="s">
        <v>10</v>
      </c>
      <c r="C298" t="s">
        <v>11</v>
      </c>
      <c r="D298" t="s">
        <v>12</v>
      </c>
      <c r="E298" t="s">
        <v>214</v>
      </c>
      <c r="F298" t="s">
        <v>215</v>
      </c>
      <c r="G298" t="s">
        <v>16</v>
      </c>
      <c r="H298" t="s">
        <v>31</v>
      </c>
      <c r="I298" s="1">
        <v>462</v>
      </c>
      <c r="J298" s="1">
        <v>22</v>
      </c>
      <c r="K298" s="1">
        <f t="shared" si="4"/>
        <v>484</v>
      </c>
    </row>
    <row r="299" spans="1:11" x14ac:dyDescent="0.4">
      <c r="A299" t="s">
        <v>9</v>
      </c>
      <c r="B299" t="s">
        <v>10</v>
      </c>
      <c r="C299" t="s">
        <v>11</v>
      </c>
      <c r="D299" t="s">
        <v>12</v>
      </c>
      <c r="E299" t="s">
        <v>214</v>
      </c>
      <c r="F299" t="s">
        <v>215</v>
      </c>
      <c r="G299" t="s">
        <v>16</v>
      </c>
      <c r="H299" t="s">
        <v>40</v>
      </c>
      <c r="I299" s="1">
        <v>61</v>
      </c>
      <c r="J299" s="1">
        <v>1</v>
      </c>
      <c r="K299" s="1">
        <f t="shared" si="4"/>
        <v>62</v>
      </c>
    </row>
    <row r="300" spans="1:11" x14ac:dyDescent="0.4">
      <c r="A300" t="s">
        <v>9</v>
      </c>
      <c r="B300" t="s">
        <v>10</v>
      </c>
      <c r="C300" t="s">
        <v>11</v>
      </c>
      <c r="D300" t="s">
        <v>12</v>
      </c>
      <c r="E300" t="s">
        <v>214</v>
      </c>
      <c r="F300" t="s">
        <v>215</v>
      </c>
      <c r="G300" t="s">
        <v>16</v>
      </c>
      <c r="H300" t="s">
        <v>210</v>
      </c>
      <c r="I300" s="1">
        <v>7</v>
      </c>
      <c r="J300" s="1">
        <v>0</v>
      </c>
      <c r="K300" s="1">
        <f t="shared" si="4"/>
        <v>7</v>
      </c>
    </row>
    <row r="301" spans="1:11" x14ac:dyDescent="0.4">
      <c r="A301" t="s">
        <v>9</v>
      </c>
      <c r="B301" t="s">
        <v>10</v>
      </c>
      <c r="C301" t="s">
        <v>11</v>
      </c>
      <c r="D301" t="s">
        <v>12</v>
      </c>
      <c r="E301" t="s">
        <v>214</v>
      </c>
      <c r="F301" t="s">
        <v>215</v>
      </c>
      <c r="G301" t="s">
        <v>16</v>
      </c>
      <c r="H301" t="s">
        <v>18</v>
      </c>
      <c r="I301" s="1">
        <v>415</v>
      </c>
      <c r="J301" s="1">
        <v>57</v>
      </c>
      <c r="K301" s="1">
        <f t="shared" si="4"/>
        <v>472</v>
      </c>
    </row>
    <row r="302" spans="1:11" hidden="1" x14ac:dyDescent="0.4">
      <c r="A302" t="s">
        <v>9</v>
      </c>
      <c r="B302" t="s">
        <v>10</v>
      </c>
      <c r="C302" t="s">
        <v>11</v>
      </c>
      <c r="D302" t="s">
        <v>12</v>
      </c>
      <c r="E302" t="s">
        <v>214</v>
      </c>
      <c r="F302" t="s">
        <v>215</v>
      </c>
      <c r="G302" t="s">
        <v>16</v>
      </c>
      <c r="H302" t="s">
        <v>8</v>
      </c>
      <c r="I302" s="1">
        <v>3515</v>
      </c>
      <c r="J302" s="1">
        <v>513</v>
      </c>
      <c r="K302" s="1">
        <f t="shared" si="4"/>
        <v>4028</v>
      </c>
    </row>
    <row r="303" spans="1:11" x14ac:dyDescent="0.4">
      <c r="A303" t="s">
        <v>9</v>
      </c>
      <c r="B303" t="s">
        <v>10</v>
      </c>
      <c r="C303" t="s">
        <v>11</v>
      </c>
      <c r="D303" t="s">
        <v>12</v>
      </c>
      <c r="E303" t="s">
        <v>214</v>
      </c>
      <c r="F303" t="s">
        <v>215</v>
      </c>
      <c r="G303" t="s">
        <v>16</v>
      </c>
      <c r="H303" t="s">
        <v>23</v>
      </c>
      <c r="I303" s="1">
        <v>811</v>
      </c>
      <c r="J303" s="1">
        <v>69</v>
      </c>
      <c r="K303" s="1">
        <f t="shared" si="4"/>
        <v>880</v>
      </c>
    </row>
    <row r="304" spans="1:11" x14ac:dyDescent="0.4">
      <c r="A304" t="s">
        <v>9</v>
      </c>
      <c r="B304" t="s">
        <v>10</v>
      </c>
      <c r="C304" t="s">
        <v>11</v>
      </c>
      <c r="D304" t="s">
        <v>12</v>
      </c>
      <c r="E304" t="s">
        <v>216</v>
      </c>
      <c r="F304" t="s">
        <v>217</v>
      </c>
      <c r="G304" t="s">
        <v>16</v>
      </c>
      <c r="H304" t="s">
        <v>37</v>
      </c>
      <c r="I304" s="1">
        <v>17</v>
      </c>
      <c r="J304" s="1">
        <v>1</v>
      </c>
      <c r="K304" s="1">
        <f t="shared" si="4"/>
        <v>18</v>
      </c>
    </row>
    <row r="305" spans="1:11" x14ac:dyDescent="0.4">
      <c r="A305" t="s">
        <v>9</v>
      </c>
      <c r="B305" t="s">
        <v>10</v>
      </c>
      <c r="C305" t="s">
        <v>11</v>
      </c>
      <c r="D305" t="s">
        <v>12</v>
      </c>
      <c r="E305" t="s">
        <v>216</v>
      </c>
      <c r="F305" t="s">
        <v>217</v>
      </c>
      <c r="G305" t="s">
        <v>16</v>
      </c>
      <c r="H305" t="s">
        <v>34</v>
      </c>
      <c r="I305" s="1">
        <v>70</v>
      </c>
      <c r="J305" s="1">
        <v>3</v>
      </c>
      <c r="K305" s="1">
        <f t="shared" si="4"/>
        <v>73</v>
      </c>
    </row>
    <row r="306" spans="1:11" x14ac:dyDescent="0.4">
      <c r="A306" t="s">
        <v>9</v>
      </c>
      <c r="B306" t="s">
        <v>10</v>
      </c>
      <c r="C306" t="s">
        <v>11</v>
      </c>
      <c r="D306" t="s">
        <v>12</v>
      </c>
      <c r="E306" t="s">
        <v>216</v>
      </c>
      <c r="F306" t="s">
        <v>217</v>
      </c>
      <c r="G306" t="s">
        <v>16</v>
      </c>
      <c r="H306" t="s">
        <v>17</v>
      </c>
      <c r="I306" s="1">
        <v>89</v>
      </c>
      <c r="J306" s="1">
        <v>39</v>
      </c>
      <c r="K306" s="1">
        <f t="shared" si="4"/>
        <v>128</v>
      </c>
    </row>
    <row r="307" spans="1:11" x14ac:dyDescent="0.4">
      <c r="A307" t="s">
        <v>9</v>
      </c>
      <c r="B307" t="s">
        <v>10</v>
      </c>
      <c r="C307" t="s">
        <v>11</v>
      </c>
      <c r="D307" t="s">
        <v>12</v>
      </c>
      <c r="E307" t="s">
        <v>216</v>
      </c>
      <c r="F307" t="s">
        <v>217</v>
      </c>
      <c r="G307" t="s">
        <v>16</v>
      </c>
      <c r="H307" t="s">
        <v>15</v>
      </c>
      <c r="I307" s="1">
        <v>85</v>
      </c>
      <c r="J307" s="1">
        <v>30</v>
      </c>
      <c r="K307" s="1">
        <f t="shared" si="4"/>
        <v>115</v>
      </c>
    </row>
    <row r="308" spans="1:11" x14ac:dyDescent="0.4">
      <c r="A308" t="s">
        <v>9</v>
      </c>
      <c r="B308" t="s">
        <v>10</v>
      </c>
      <c r="C308" t="s">
        <v>11</v>
      </c>
      <c r="D308" t="s">
        <v>12</v>
      </c>
      <c r="E308" t="s">
        <v>216</v>
      </c>
      <c r="F308" t="s">
        <v>217</v>
      </c>
      <c r="G308" t="s">
        <v>16</v>
      </c>
      <c r="H308" t="s">
        <v>38</v>
      </c>
      <c r="I308" s="1">
        <v>170</v>
      </c>
      <c r="J308" s="1">
        <v>14</v>
      </c>
      <c r="K308" s="1">
        <f t="shared" si="4"/>
        <v>184</v>
      </c>
    </row>
    <row r="309" spans="1:11" x14ac:dyDescent="0.4">
      <c r="A309" t="s">
        <v>9</v>
      </c>
      <c r="B309" t="s">
        <v>10</v>
      </c>
      <c r="C309" t="s">
        <v>11</v>
      </c>
      <c r="D309" t="s">
        <v>12</v>
      </c>
      <c r="E309" t="s">
        <v>216</v>
      </c>
      <c r="F309" t="s">
        <v>217</v>
      </c>
      <c r="G309" t="s">
        <v>16</v>
      </c>
      <c r="H309" t="s">
        <v>39</v>
      </c>
      <c r="I309" s="1">
        <v>4</v>
      </c>
      <c r="J309" s="1">
        <v>0</v>
      </c>
      <c r="K309" s="1">
        <f t="shared" si="4"/>
        <v>4</v>
      </c>
    </row>
    <row r="310" spans="1:11" x14ac:dyDescent="0.4">
      <c r="A310" t="s">
        <v>9</v>
      </c>
      <c r="B310" t="s">
        <v>10</v>
      </c>
      <c r="C310" t="s">
        <v>11</v>
      </c>
      <c r="D310" t="s">
        <v>12</v>
      </c>
      <c r="E310" t="s">
        <v>216</v>
      </c>
      <c r="F310" t="s">
        <v>217</v>
      </c>
      <c r="G310" t="s">
        <v>16</v>
      </c>
      <c r="H310" t="s">
        <v>51</v>
      </c>
      <c r="I310" s="1">
        <v>4</v>
      </c>
      <c r="J310" s="1">
        <v>1</v>
      </c>
      <c r="K310" s="1">
        <f t="shared" si="4"/>
        <v>5</v>
      </c>
    </row>
    <row r="311" spans="1:11" x14ac:dyDescent="0.4">
      <c r="A311" t="s">
        <v>9</v>
      </c>
      <c r="B311" t="s">
        <v>10</v>
      </c>
      <c r="C311" t="s">
        <v>11</v>
      </c>
      <c r="D311" t="s">
        <v>12</v>
      </c>
      <c r="E311" t="s">
        <v>216</v>
      </c>
      <c r="F311" t="s">
        <v>217</v>
      </c>
      <c r="G311" t="s">
        <v>16</v>
      </c>
      <c r="H311" t="s">
        <v>28</v>
      </c>
      <c r="I311" s="1">
        <v>22</v>
      </c>
      <c r="J311" s="1">
        <v>0</v>
      </c>
      <c r="K311" s="1">
        <f t="shared" si="4"/>
        <v>22</v>
      </c>
    </row>
    <row r="312" spans="1:11" x14ac:dyDescent="0.4">
      <c r="A312" t="s">
        <v>9</v>
      </c>
      <c r="B312" t="s">
        <v>10</v>
      </c>
      <c r="C312" t="s">
        <v>11</v>
      </c>
      <c r="D312" t="s">
        <v>12</v>
      </c>
      <c r="E312" t="s">
        <v>216</v>
      </c>
      <c r="F312" t="s">
        <v>217</v>
      </c>
      <c r="G312" t="s">
        <v>16</v>
      </c>
      <c r="H312" t="s">
        <v>160</v>
      </c>
      <c r="I312" s="1">
        <v>14</v>
      </c>
      <c r="J312" s="1">
        <v>2</v>
      </c>
      <c r="K312" s="1">
        <f t="shared" si="4"/>
        <v>16</v>
      </c>
    </row>
    <row r="313" spans="1:11" x14ac:dyDescent="0.4">
      <c r="A313" t="s">
        <v>9</v>
      </c>
      <c r="B313" t="s">
        <v>10</v>
      </c>
      <c r="C313" t="s">
        <v>11</v>
      </c>
      <c r="D313" t="s">
        <v>12</v>
      </c>
      <c r="E313" t="s">
        <v>216</v>
      </c>
      <c r="F313" t="s">
        <v>217</v>
      </c>
      <c r="G313" t="s">
        <v>16</v>
      </c>
      <c r="H313" t="s">
        <v>31</v>
      </c>
      <c r="I313" s="1">
        <v>74</v>
      </c>
      <c r="J313" s="1">
        <v>12</v>
      </c>
      <c r="K313" s="1">
        <f t="shared" si="4"/>
        <v>86</v>
      </c>
    </row>
    <row r="314" spans="1:11" x14ac:dyDescent="0.4">
      <c r="A314" t="s">
        <v>9</v>
      </c>
      <c r="B314" t="s">
        <v>10</v>
      </c>
      <c r="C314" t="s">
        <v>11</v>
      </c>
      <c r="D314" t="s">
        <v>12</v>
      </c>
      <c r="E314" t="s">
        <v>216</v>
      </c>
      <c r="F314" t="s">
        <v>217</v>
      </c>
      <c r="G314" t="s">
        <v>16</v>
      </c>
      <c r="H314" t="s">
        <v>40</v>
      </c>
      <c r="I314" s="1">
        <v>8</v>
      </c>
      <c r="J314" s="1">
        <v>0</v>
      </c>
      <c r="K314" s="1">
        <f t="shared" si="4"/>
        <v>8</v>
      </c>
    </row>
    <row r="315" spans="1:11" x14ac:dyDescent="0.4">
      <c r="A315" t="s">
        <v>9</v>
      </c>
      <c r="B315" t="s">
        <v>10</v>
      </c>
      <c r="C315" t="s">
        <v>11</v>
      </c>
      <c r="D315" t="s">
        <v>12</v>
      </c>
      <c r="E315" t="s">
        <v>216</v>
      </c>
      <c r="F315" t="s">
        <v>217</v>
      </c>
      <c r="G315" t="s">
        <v>16</v>
      </c>
      <c r="H315" t="s">
        <v>210</v>
      </c>
      <c r="I315" s="1">
        <v>1</v>
      </c>
      <c r="J315" s="1">
        <v>0</v>
      </c>
      <c r="K315" s="1">
        <f t="shared" si="4"/>
        <v>1</v>
      </c>
    </row>
    <row r="316" spans="1:11" x14ac:dyDescent="0.4">
      <c r="A316" t="s">
        <v>9</v>
      </c>
      <c r="B316" t="s">
        <v>10</v>
      </c>
      <c r="C316" t="s">
        <v>11</v>
      </c>
      <c r="D316" t="s">
        <v>12</v>
      </c>
      <c r="E316" t="s">
        <v>216</v>
      </c>
      <c r="F316" t="s">
        <v>217</v>
      </c>
      <c r="G316" t="s">
        <v>16</v>
      </c>
      <c r="H316" t="s">
        <v>18</v>
      </c>
      <c r="I316" s="1">
        <v>34</v>
      </c>
      <c r="J316" s="1">
        <v>4</v>
      </c>
      <c r="K316" s="1">
        <f t="shared" si="4"/>
        <v>38</v>
      </c>
    </row>
    <row r="317" spans="1:11" hidden="1" x14ac:dyDescent="0.4">
      <c r="A317" t="s">
        <v>9</v>
      </c>
      <c r="B317" t="s">
        <v>10</v>
      </c>
      <c r="C317" t="s">
        <v>11</v>
      </c>
      <c r="D317" t="s">
        <v>12</v>
      </c>
      <c r="E317" t="s">
        <v>216</v>
      </c>
      <c r="F317" t="s">
        <v>217</v>
      </c>
      <c r="G317" t="s">
        <v>16</v>
      </c>
      <c r="H317" t="s">
        <v>8</v>
      </c>
      <c r="I317" s="1">
        <v>824</v>
      </c>
      <c r="J317" s="1">
        <v>137</v>
      </c>
      <c r="K317" s="1">
        <f t="shared" si="4"/>
        <v>961</v>
      </c>
    </row>
    <row r="318" spans="1:11" x14ac:dyDescent="0.4">
      <c r="A318" t="s">
        <v>9</v>
      </c>
      <c r="B318" t="s">
        <v>10</v>
      </c>
      <c r="C318" t="s">
        <v>11</v>
      </c>
      <c r="D318" t="s">
        <v>12</v>
      </c>
      <c r="E318" t="s">
        <v>216</v>
      </c>
      <c r="F318" t="s">
        <v>217</v>
      </c>
      <c r="G318" t="s">
        <v>16</v>
      </c>
      <c r="H318" t="s">
        <v>23</v>
      </c>
      <c r="I318" s="1">
        <v>232</v>
      </c>
      <c r="J318" s="1">
        <v>31</v>
      </c>
      <c r="K318" s="1">
        <f t="shared" si="4"/>
        <v>263</v>
      </c>
    </row>
    <row r="319" spans="1:11" x14ac:dyDescent="0.4">
      <c r="A319" t="s">
        <v>9</v>
      </c>
      <c r="B319" t="s">
        <v>10</v>
      </c>
      <c r="C319" t="s">
        <v>11</v>
      </c>
      <c r="D319" t="s">
        <v>12</v>
      </c>
      <c r="E319" t="s">
        <v>218</v>
      </c>
      <c r="F319" t="s">
        <v>219</v>
      </c>
      <c r="G319" t="s">
        <v>16</v>
      </c>
      <c r="H319" t="s">
        <v>37</v>
      </c>
      <c r="I319" s="1">
        <v>488</v>
      </c>
      <c r="J319" s="1">
        <v>78</v>
      </c>
      <c r="K319" s="1">
        <f t="shared" si="4"/>
        <v>566</v>
      </c>
    </row>
    <row r="320" spans="1:11" x14ac:dyDescent="0.4">
      <c r="A320" t="s">
        <v>9</v>
      </c>
      <c r="B320" t="s">
        <v>10</v>
      </c>
      <c r="C320" t="s">
        <v>11</v>
      </c>
      <c r="D320" t="s">
        <v>12</v>
      </c>
      <c r="E320" t="s">
        <v>218</v>
      </c>
      <c r="F320" t="s">
        <v>219</v>
      </c>
      <c r="G320" t="s">
        <v>16</v>
      </c>
      <c r="H320" t="s">
        <v>34</v>
      </c>
      <c r="I320" s="1">
        <v>649</v>
      </c>
      <c r="J320" s="1">
        <v>22</v>
      </c>
      <c r="K320" s="1">
        <f t="shared" si="4"/>
        <v>671</v>
      </c>
    </row>
    <row r="321" spans="1:11" x14ac:dyDescent="0.4">
      <c r="A321" t="s">
        <v>9</v>
      </c>
      <c r="B321" t="s">
        <v>10</v>
      </c>
      <c r="C321" t="s">
        <v>11</v>
      </c>
      <c r="D321" t="s">
        <v>12</v>
      </c>
      <c r="E321" t="s">
        <v>218</v>
      </c>
      <c r="F321" t="s">
        <v>219</v>
      </c>
      <c r="G321" t="s">
        <v>16</v>
      </c>
      <c r="H321" t="s">
        <v>17</v>
      </c>
      <c r="I321" s="1">
        <v>1113</v>
      </c>
      <c r="J321" s="1">
        <v>456</v>
      </c>
      <c r="K321" s="1">
        <f t="shared" si="4"/>
        <v>1569</v>
      </c>
    </row>
    <row r="322" spans="1:11" x14ac:dyDescent="0.4">
      <c r="A322" t="s">
        <v>9</v>
      </c>
      <c r="B322" t="s">
        <v>10</v>
      </c>
      <c r="C322" t="s">
        <v>11</v>
      </c>
      <c r="D322" t="s">
        <v>12</v>
      </c>
      <c r="E322" t="s">
        <v>218</v>
      </c>
      <c r="F322" t="s">
        <v>219</v>
      </c>
      <c r="G322" t="s">
        <v>16</v>
      </c>
      <c r="H322" t="s">
        <v>15</v>
      </c>
      <c r="I322" s="1">
        <v>101</v>
      </c>
      <c r="J322" s="1">
        <v>28</v>
      </c>
      <c r="K322" s="1">
        <f t="shared" si="4"/>
        <v>129</v>
      </c>
    </row>
    <row r="323" spans="1:11" x14ac:dyDescent="0.4">
      <c r="A323" t="s">
        <v>9</v>
      </c>
      <c r="B323" t="s">
        <v>10</v>
      </c>
      <c r="C323" t="s">
        <v>11</v>
      </c>
      <c r="D323" t="s">
        <v>12</v>
      </c>
      <c r="E323" t="s">
        <v>218</v>
      </c>
      <c r="F323" t="s">
        <v>219</v>
      </c>
      <c r="G323" t="s">
        <v>16</v>
      </c>
      <c r="H323" t="s">
        <v>38</v>
      </c>
      <c r="I323" s="1">
        <v>691</v>
      </c>
      <c r="J323" s="1">
        <v>43</v>
      </c>
      <c r="K323" s="1">
        <f t="shared" ref="K323:K386" si="5">SUM(I323,J323)</f>
        <v>734</v>
      </c>
    </row>
    <row r="324" spans="1:11" x14ac:dyDescent="0.4">
      <c r="A324" t="s">
        <v>9</v>
      </c>
      <c r="B324" t="s">
        <v>10</v>
      </c>
      <c r="C324" t="s">
        <v>11</v>
      </c>
      <c r="D324" t="s">
        <v>12</v>
      </c>
      <c r="E324" t="s">
        <v>218</v>
      </c>
      <c r="F324" t="s">
        <v>219</v>
      </c>
      <c r="G324" t="s">
        <v>16</v>
      </c>
      <c r="H324" t="s">
        <v>211</v>
      </c>
      <c r="I324" s="1">
        <v>13</v>
      </c>
      <c r="J324" s="1">
        <v>0</v>
      </c>
      <c r="K324" s="1">
        <f t="shared" si="5"/>
        <v>13</v>
      </c>
    </row>
    <row r="325" spans="1:11" x14ac:dyDescent="0.4">
      <c r="A325" t="s">
        <v>9</v>
      </c>
      <c r="B325" t="s">
        <v>10</v>
      </c>
      <c r="C325" t="s">
        <v>11</v>
      </c>
      <c r="D325" t="s">
        <v>12</v>
      </c>
      <c r="E325" t="s">
        <v>218</v>
      </c>
      <c r="F325" t="s">
        <v>219</v>
      </c>
      <c r="G325" t="s">
        <v>16</v>
      </c>
      <c r="H325" t="s">
        <v>209</v>
      </c>
      <c r="I325" s="1">
        <v>51</v>
      </c>
      <c r="J325" s="1">
        <v>0</v>
      </c>
      <c r="K325" s="1">
        <f t="shared" si="5"/>
        <v>51</v>
      </c>
    </row>
    <row r="326" spans="1:11" x14ac:dyDescent="0.4">
      <c r="A326" t="s">
        <v>9</v>
      </c>
      <c r="B326" t="s">
        <v>10</v>
      </c>
      <c r="C326" t="s">
        <v>11</v>
      </c>
      <c r="D326" t="s">
        <v>12</v>
      </c>
      <c r="E326" t="s">
        <v>218</v>
      </c>
      <c r="F326" t="s">
        <v>219</v>
      </c>
      <c r="G326" t="s">
        <v>16</v>
      </c>
      <c r="H326" t="s">
        <v>39</v>
      </c>
      <c r="I326" s="1">
        <v>319</v>
      </c>
      <c r="J326" s="1">
        <v>36</v>
      </c>
      <c r="K326" s="1">
        <f t="shared" si="5"/>
        <v>355</v>
      </c>
    </row>
    <row r="327" spans="1:11" x14ac:dyDescent="0.4">
      <c r="A327" t="s">
        <v>9</v>
      </c>
      <c r="B327" t="s">
        <v>10</v>
      </c>
      <c r="C327" t="s">
        <v>11</v>
      </c>
      <c r="D327" t="s">
        <v>12</v>
      </c>
      <c r="E327" t="s">
        <v>218</v>
      </c>
      <c r="F327" t="s">
        <v>219</v>
      </c>
      <c r="G327" t="s">
        <v>16</v>
      </c>
      <c r="H327" t="s">
        <v>51</v>
      </c>
      <c r="I327" s="1">
        <v>554</v>
      </c>
      <c r="J327" s="1">
        <v>18</v>
      </c>
      <c r="K327" s="1">
        <f t="shared" si="5"/>
        <v>572</v>
      </c>
    </row>
    <row r="328" spans="1:11" x14ac:dyDescent="0.4">
      <c r="A328" t="s">
        <v>9</v>
      </c>
      <c r="B328" t="s">
        <v>10</v>
      </c>
      <c r="C328" t="s">
        <v>11</v>
      </c>
      <c r="D328" t="s">
        <v>12</v>
      </c>
      <c r="E328" t="s">
        <v>218</v>
      </c>
      <c r="F328" t="s">
        <v>219</v>
      </c>
      <c r="G328" t="s">
        <v>16</v>
      </c>
      <c r="H328" t="s">
        <v>28</v>
      </c>
      <c r="I328" s="1">
        <v>591</v>
      </c>
      <c r="J328" s="1">
        <v>16</v>
      </c>
      <c r="K328" s="1">
        <f t="shared" si="5"/>
        <v>607</v>
      </c>
    </row>
    <row r="329" spans="1:11" x14ac:dyDescent="0.4">
      <c r="A329" t="s">
        <v>9</v>
      </c>
      <c r="B329" t="s">
        <v>10</v>
      </c>
      <c r="C329" t="s">
        <v>11</v>
      </c>
      <c r="D329" t="s">
        <v>12</v>
      </c>
      <c r="E329" t="s">
        <v>218</v>
      </c>
      <c r="F329" t="s">
        <v>219</v>
      </c>
      <c r="G329" t="s">
        <v>16</v>
      </c>
      <c r="H329" t="s">
        <v>160</v>
      </c>
      <c r="I329" s="1">
        <v>432</v>
      </c>
      <c r="J329" s="1">
        <v>51</v>
      </c>
      <c r="K329" s="1">
        <f t="shared" si="5"/>
        <v>483</v>
      </c>
    </row>
    <row r="330" spans="1:11" x14ac:dyDescent="0.4">
      <c r="A330" t="s">
        <v>9</v>
      </c>
      <c r="B330" t="s">
        <v>10</v>
      </c>
      <c r="C330" t="s">
        <v>11</v>
      </c>
      <c r="D330" t="s">
        <v>12</v>
      </c>
      <c r="E330" t="s">
        <v>218</v>
      </c>
      <c r="F330" t="s">
        <v>219</v>
      </c>
      <c r="G330" t="s">
        <v>16</v>
      </c>
      <c r="H330" t="s">
        <v>31</v>
      </c>
      <c r="I330" s="1">
        <v>506</v>
      </c>
      <c r="J330" s="1">
        <v>36</v>
      </c>
      <c r="K330" s="1">
        <f t="shared" si="5"/>
        <v>542</v>
      </c>
    </row>
    <row r="331" spans="1:11" x14ac:dyDescent="0.4">
      <c r="A331" t="s">
        <v>9</v>
      </c>
      <c r="B331" t="s">
        <v>10</v>
      </c>
      <c r="C331" t="s">
        <v>11</v>
      </c>
      <c r="D331" t="s">
        <v>12</v>
      </c>
      <c r="E331" t="s">
        <v>218</v>
      </c>
      <c r="F331" t="s">
        <v>219</v>
      </c>
      <c r="G331" t="s">
        <v>16</v>
      </c>
      <c r="H331" t="s">
        <v>40</v>
      </c>
      <c r="I331" s="1">
        <v>253</v>
      </c>
      <c r="J331" s="1">
        <v>8</v>
      </c>
      <c r="K331" s="1">
        <f t="shared" si="5"/>
        <v>261</v>
      </c>
    </row>
    <row r="332" spans="1:11" x14ac:dyDescent="0.4">
      <c r="A332" t="s">
        <v>9</v>
      </c>
      <c r="B332" t="s">
        <v>10</v>
      </c>
      <c r="C332" t="s">
        <v>11</v>
      </c>
      <c r="D332" t="s">
        <v>12</v>
      </c>
      <c r="E332" t="s">
        <v>218</v>
      </c>
      <c r="F332" t="s">
        <v>219</v>
      </c>
      <c r="G332" t="s">
        <v>16</v>
      </c>
      <c r="H332" t="s">
        <v>210</v>
      </c>
      <c r="I332" s="1">
        <v>82</v>
      </c>
      <c r="J332" s="1">
        <v>0</v>
      </c>
      <c r="K332" s="1">
        <f t="shared" si="5"/>
        <v>82</v>
      </c>
    </row>
    <row r="333" spans="1:11" x14ac:dyDescent="0.4">
      <c r="A333" t="s">
        <v>9</v>
      </c>
      <c r="B333" t="s">
        <v>10</v>
      </c>
      <c r="C333" t="s">
        <v>11</v>
      </c>
      <c r="D333" t="s">
        <v>12</v>
      </c>
      <c r="E333" t="s">
        <v>218</v>
      </c>
      <c r="F333" t="s">
        <v>219</v>
      </c>
      <c r="G333" t="s">
        <v>16</v>
      </c>
      <c r="H333" t="s">
        <v>18</v>
      </c>
      <c r="I333" s="1">
        <v>1048</v>
      </c>
      <c r="J333" s="1">
        <v>115</v>
      </c>
      <c r="K333" s="1">
        <f t="shared" si="5"/>
        <v>1163</v>
      </c>
    </row>
    <row r="334" spans="1:11" hidden="1" x14ac:dyDescent="0.4">
      <c r="A334" t="s">
        <v>9</v>
      </c>
      <c r="B334" t="s">
        <v>10</v>
      </c>
      <c r="C334" t="s">
        <v>11</v>
      </c>
      <c r="D334" t="s">
        <v>12</v>
      </c>
      <c r="E334" t="s">
        <v>218</v>
      </c>
      <c r="F334" t="s">
        <v>219</v>
      </c>
      <c r="G334" t="s">
        <v>16</v>
      </c>
      <c r="H334" t="s">
        <v>8</v>
      </c>
      <c r="I334" s="1">
        <v>8470</v>
      </c>
      <c r="J334" s="1">
        <v>1028</v>
      </c>
      <c r="K334" s="1">
        <f t="shared" si="5"/>
        <v>9498</v>
      </c>
    </row>
    <row r="335" spans="1:11" x14ac:dyDescent="0.4">
      <c r="A335" t="s">
        <v>9</v>
      </c>
      <c r="B335" t="s">
        <v>10</v>
      </c>
      <c r="C335" t="s">
        <v>11</v>
      </c>
      <c r="D335" t="s">
        <v>12</v>
      </c>
      <c r="E335" t="s">
        <v>218</v>
      </c>
      <c r="F335" t="s">
        <v>219</v>
      </c>
      <c r="G335" t="s">
        <v>16</v>
      </c>
      <c r="H335" t="s">
        <v>23</v>
      </c>
      <c r="I335" s="1">
        <v>1579</v>
      </c>
      <c r="J335" s="1">
        <v>121</v>
      </c>
      <c r="K335" s="1">
        <f t="shared" si="5"/>
        <v>1700</v>
      </c>
    </row>
    <row r="336" spans="1:11" x14ac:dyDescent="0.4">
      <c r="A336" t="s">
        <v>9</v>
      </c>
      <c r="B336" t="s">
        <v>10</v>
      </c>
      <c r="C336" t="s">
        <v>11</v>
      </c>
      <c r="D336" t="s">
        <v>12</v>
      </c>
      <c r="E336" t="s">
        <v>220</v>
      </c>
      <c r="F336" t="s">
        <v>221</v>
      </c>
      <c r="G336" t="s">
        <v>16</v>
      </c>
      <c r="H336" t="s">
        <v>37</v>
      </c>
      <c r="I336" s="1">
        <v>1</v>
      </c>
      <c r="J336" s="1">
        <v>0</v>
      </c>
      <c r="K336" s="1">
        <f t="shared" si="5"/>
        <v>1</v>
      </c>
    </row>
    <row r="337" spans="1:11" x14ac:dyDescent="0.4">
      <c r="A337" t="s">
        <v>9</v>
      </c>
      <c r="B337" t="s">
        <v>10</v>
      </c>
      <c r="C337" t="s">
        <v>11</v>
      </c>
      <c r="D337" t="s">
        <v>12</v>
      </c>
      <c r="E337" t="s">
        <v>220</v>
      </c>
      <c r="F337" t="s">
        <v>221</v>
      </c>
      <c r="G337" t="s">
        <v>16</v>
      </c>
      <c r="H337" t="s">
        <v>34</v>
      </c>
      <c r="I337" s="1">
        <v>26</v>
      </c>
      <c r="J337" s="1">
        <v>1</v>
      </c>
      <c r="K337" s="1">
        <f t="shared" si="5"/>
        <v>27</v>
      </c>
    </row>
    <row r="338" spans="1:11" x14ac:dyDescent="0.4">
      <c r="A338" t="s">
        <v>9</v>
      </c>
      <c r="B338" t="s">
        <v>10</v>
      </c>
      <c r="C338" t="s">
        <v>11</v>
      </c>
      <c r="D338" t="s">
        <v>12</v>
      </c>
      <c r="E338" t="s">
        <v>220</v>
      </c>
      <c r="F338" t="s">
        <v>221</v>
      </c>
      <c r="G338" t="s">
        <v>16</v>
      </c>
      <c r="H338" t="s">
        <v>17</v>
      </c>
      <c r="I338" s="1">
        <v>13</v>
      </c>
      <c r="J338" s="1">
        <v>4</v>
      </c>
      <c r="K338" s="1">
        <f t="shared" si="5"/>
        <v>17</v>
      </c>
    </row>
    <row r="339" spans="1:11" x14ac:dyDescent="0.4">
      <c r="A339" t="s">
        <v>9</v>
      </c>
      <c r="B339" t="s">
        <v>10</v>
      </c>
      <c r="C339" t="s">
        <v>11</v>
      </c>
      <c r="D339" t="s">
        <v>12</v>
      </c>
      <c r="E339" t="s">
        <v>220</v>
      </c>
      <c r="F339" t="s">
        <v>221</v>
      </c>
      <c r="G339" t="s">
        <v>16</v>
      </c>
      <c r="H339" t="s">
        <v>15</v>
      </c>
      <c r="I339" s="1">
        <v>19</v>
      </c>
      <c r="J339" s="1">
        <v>9</v>
      </c>
      <c r="K339" s="1">
        <f t="shared" si="5"/>
        <v>28</v>
      </c>
    </row>
    <row r="340" spans="1:11" x14ac:dyDescent="0.4">
      <c r="A340" t="s">
        <v>9</v>
      </c>
      <c r="B340" t="s">
        <v>10</v>
      </c>
      <c r="C340" t="s">
        <v>11</v>
      </c>
      <c r="D340" t="s">
        <v>12</v>
      </c>
      <c r="E340" t="s">
        <v>220</v>
      </c>
      <c r="F340" t="s">
        <v>221</v>
      </c>
      <c r="G340" t="s">
        <v>16</v>
      </c>
      <c r="H340" t="s">
        <v>38</v>
      </c>
      <c r="I340" s="1">
        <v>8</v>
      </c>
      <c r="J340" s="1">
        <v>2</v>
      </c>
      <c r="K340" s="1">
        <f t="shared" si="5"/>
        <v>10</v>
      </c>
    </row>
    <row r="341" spans="1:11" x14ac:dyDescent="0.4">
      <c r="A341" t="s">
        <v>9</v>
      </c>
      <c r="B341" t="s">
        <v>10</v>
      </c>
      <c r="C341" t="s">
        <v>11</v>
      </c>
      <c r="D341" t="s">
        <v>12</v>
      </c>
      <c r="E341" t="s">
        <v>220</v>
      </c>
      <c r="F341" t="s">
        <v>221</v>
      </c>
      <c r="G341" t="s">
        <v>16</v>
      </c>
      <c r="H341" t="s">
        <v>39</v>
      </c>
      <c r="I341" s="1">
        <v>1</v>
      </c>
      <c r="J341" s="1">
        <v>0</v>
      </c>
      <c r="K341" s="1">
        <f t="shared" si="5"/>
        <v>1</v>
      </c>
    </row>
    <row r="342" spans="1:11" x14ac:dyDescent="0.4">
      <c r="A342" t="s">
        <v>9</v>
      </c>
      <c r="B342" t="s">
        <v>10</v>
      </c>
      <c r="C342" t="s">
        <v>11</v>
      </c>
      <c r="D342" t="s">
        <v>12</v>
      </c>
      <c r="E342" t="s">
        <v>220</v>
      </c>
      <c r="F342" t="s">
        <v>221</v>
      </c>
      <c r="G342" t="s">
        <v>16</v>
      </c>
      <c r="H342" t="s">
        <v>51</v>
      </c>
      <c r="I342" s="1">
        <v>1</v>
      </c>
      <c r="J342" s="1">
        <v>0</v>
      </c>
      <c r="K342" s="1">
        <f t="shared" si="5"/>
        <v>1</v>
      </c>
    </row>
    <row r="343" spans="1:11" x14ac:dyDescent="0.4">
      <c r="A343" t="s">
        <v>9</v>
      </c>
      <c r="B343" t="s">
        <v>10</v>
      </c>
      <c r="C343" t="s">
        <v>11</v>
      </c>
      <c r="D343" t="s">
        <v>12</v>
      </c>
      <c r="E343" t="s">
        <v>220</v>
      </c>
      <c r="F343" t="s">
        <v>221</v>
      </c>
      <c r="G343" t="s">
        <v>16</v>
      </c>
      <c r="H343" t="s">
        <v>31</v>
      </c>
      <c r="I343" s="1">
        <v>29</v>
      </c>
      <c r="J343" s="1">
        <v>5</v>
      </c>
      <c r="K343" s="1">
        <f t="shared" si="5"/>
        <v>34</v>
      </c>
    </row>
    <row r="344" spans="1:11" x14ac:dyDescent="0.4">
      <c r="A344" t="s">
        <v>9</v>
      </c>
      <c r="B344" t="s">
        <v>10</v>
      </c>
      <c r="C344" t="s">
        <v>11</v>
      </c>
      <c r="D344" t="s">
        <v>12</v>
      </c>
      <c r="E344" t="s">
        <v>220</v>
      </c>
      <c r="F344" t="s">
        <v>221</v>
      </c>
      <c r="G344" t="s">
        <v>16</v>
      </c>
      <c r="H344" t="s">
        <v>18</v>
      </c>
      <c r="I344" s="1">
        <v>7</v>
      </c>
      <c r="J344" s="1">
        <v>0</v>
      </c>
      <c r="K344" s="1">
        <f t="shared" si="5"/>
        <v>7</v>
      </c>
    </row>
    <row r="345" spans="1:11" hidden="1" x14ac:dyDescent="0.4">
      <c r="A345" t="s">
        <v>9</v>
      </c>
      <c r="B345" t="s">
        <v>10</v>
      </c>
      <c r="C345" t="s">
        <v>11</v>
      </c>
      <c r="D345" t="s">
        <v>12</v>
      </c>
      <c r="E345" t="s">
        <v>220</v>
      </c>
      <c r="F345" t="s">
        <v>221</v>
      </c>
      <c r="G345" t="s">
        <v>16</v>
      </c>
      <c r="H345" t="s">
        <v>8</v>
      </c>
      <c r="I345" s="1">
        <v>122</v>
      </c>
      <c r="J345" s="1">
        <v>23</v>
      </c>
      <c r="K345" s="1">
        <f t="shared" si="5"/>
        <v>145</v>
      </c>
    </row>
    <row r="346" spans="1:11" x14ac:dyDescent="0.4">
      <c r="A346" t="s">
        <v>9</v>
      </c>
      <c r="B346" t="s">
        <v>10</v>
      </c>
      <c r="C346" t="s">
        <v>11</v>
      </c>
      <c r="D346" t="s">
        <v>12</v>
      </c>
      <c r="E346" t="s">
        <v>220</v>
      </c>
      <c r="F346" t="s">
        <v>221</v>
      </c>
      <c r="G346" t="s">
        <v>16</v>
      </c>
      <c r="H346" t="s">
        <v>23</v>
      </c>
      <c r="I346" s="1">
        <v>17</v>
      </c>
      <c r="J346" s="1">
        <v>2</v>
      </c>
      <c r="K346" s="1">
        <f t="shared" si="5"/>
        <v>19</v>
      </c>
    </row>
    <row r="347" spans="1:11" x14ac:dyDescent="0.4">
      <c r="A347" t="s">
        <v>9</v>
      </c>
      <c r="B347" t="s">
        <v>10</v>
      </c>
      <c r="C347" t="s">
        <v>11</v>
      </c>
      <c r="D347" t="s">
        <v>12</v>
      </c>
      <c r="E347" t="s">
        <v>222</v>
      </c>
      <c r="F347" t="s">
        <v>223</v>
      </c>
      <c r="G347" t="s">
        <v>16</v>
      </c>
      <c r="H347" t="s">
        <v>37</v>
      </c>
      <c r="I347" s="1">
        <v>1</v>
      </c>
      <c r="J347" s="1">
        <v>0</v>
      </c>
      <c r="K347" s="1">
        <f t="shared" si="5"/>
        <v>1</v>
      </c>
    </row>
    <row r="348" spans="1:11" x14ac:dyDescent="0.4">
      <c r="A348" t="s">
        <v>9</v>
      </c>
      <c r="B348" t="s">
        <v>10</v>
      </c>
      <c r="C348" t="s">
        <v>11</v>
      </c>
      <c r="D348" t="s">
        <v>12</v>
      </c>
      <c r="E348" t="s">
        <v>222</v>
      </c>
      <c r="F348" t="s">
        <v>223</v>
      </c>
      <c r="G348" t="s">
        <v>16</v>
      </c>
      <c r="H348" t="s">
        <v>34</v>
      </c>
      <c r="I348" s="1">
        <v>8</v>
      </c>
      <c r="J348" s="1">
        <v>1</v>
      </c>
      <c r="K348" s="1">
        <f t="shared" si="5"/>
        <v>9</v>
      </c>
    </row>
    <row r="349" spans="1:11" x14ac:dyDescent="0.4">
      <c r="A349" t="s">
        <v>9</v>
      </c>
      <c r="B349" t="s">
        <v>10</v>
      </c>
      <c r="C349" t="s">
        <v>11</v>
      </c>
      <c r="D349" t="s">
        <v>12</v>
      </c>
      <c r="E349" t="s">
        <v>222</v>
      </c>
      <c r="F349" t="s">
        <v>223</v>
      </c>
      <c r="G349" t="s">
        <v>16</v>
      </c>
      <c r="H349" t="s">
        <v>17</v>
      </c>
      <c r="I349" s="1">
        <v>0</v>
      </c>
      <c r="J349" s="1">
        <v>1</v>
      </c>
      <c r="K349" s="1">
        <f t="shared" si="5"/>
        <v>1</v>
      </c>
    </row>
    <row r="350" spans="1:11" x14ac:dyDescent="0.4">
      <c r="A350" t="s">
        <v>9</v>
      </c>
      <c r="B350" t="s">
        <v>10</v>
      </c>
      <c r="C350" t="s">
        <v>11</v>
      </c>
      <c r="D350" t="s">
        <v>12</v>
      </c>
      <c r="E350" t="s">
        <v>222</v>
      </c>
      <c r="F350" t="s">
        <v>223</v>
      </c>
      <c r="G350" t="s">
        <v>16</v>
      </c>
      <c r="H350" t="s">
        <v>15</v>
      </c>
      <c r="I350" s="1">
        <v>7</v>
      </c>
      <c r="J350" s="1">
        <v>8</v>
      </c>
      <c r="K350" s="1">
        <f t="shared" si="5"/>
        <v>15</v>
      </c>
    </row>
    <row r="351" spans="1:11" x14ac:dyDescent="0.4">
      <c r="A351" t="s">
        <v>9</v>
      </c>
      <c r="B351" t="s">
        <v>10</v>
      </c>
      <c r="C351" t="s">
        <v>11</v>
      </c>
      <c r="D351" t="s">
        <v>12</v>
      </c>
      <c r="E351" t="s">
        <v>222</v>
      </c>
      <c r="F351" t="s">
        <v>223</v>
      </c>
      <c r="G351" t="s">
        <v>16</v>
      </c>
      <c r="H351" t="s">
        <v>38</v>
      </c>
      <c r="I351" s="1">
        <v>1</v>
      </c>
      <c r="J351" s="1">
        <v>0</v>
      </c>
      <c r="K351" s="1">
        <f t="shared" si="5"/>
        <v>1</v>
      </c>
    </row>
    <row r="352" spans="1:11" x14ac:dyDescent="0.4">
      <c r="A352" t="s">
        <v>9</v>
      </c>
      <c r="B352" t="s">
        <v>10</v>
      </c>
      <c r="C352" t="s">
        <v>11</v>
      </c>
      <c r="D352" t="s">
        <v>12</v>
      </c>
      <c r="E352" t="s">
        <v>222</v>
      </c>
      <c r="F352" t="s">
        <v>223</v>
      </c>
      <c r="G352" t="s">
        <v>16</v>
      </c>
      <c r="H352" t="s">
        <v>211</v>
      </c>
      <c r="I352" s="1">
        <v>1</v>
      </c>
      <c r="J352" s="1">
        <v>0</v>
      </c>
      <c r="K352" s="1">
        <f t="shared" si="5"/>
        <v>1</v>
      </c>
    </row>
    <row r="353" spans="1:11" x14ac:dyDescent="0.4">
      <c r="A353" t="s">
        <v>9</v>
      </c>
      <c r="B353" t="s">
        <v>10</v>
      </c>
      <c r="C353" t="s">
        <v>11</v>
      </c>
      <c r="D353" t="s">
        <v>12</v>
      </c>
      <c r="E353" t="s">
        <v>222</v>
      </c>
      <c r="F353" t="s">
        <v>223</v>
      </c>
      <c r="G353" t="s">
        <v>16</v>
      </c>
      <c r="H353" t="s">
        <v>51</v>
      </c>
      <c r="I353" s="1">
        <v>1</v>
      </c>
      <c r="J353" s="1">
        <v>0</v>
      </c>
      <c r="K353" s="1">
        <f t="shared" si="5"/>
        <v>1</v>
      </c>
    </row>
    <row r="354" spans="1:11" x14ac:dyDescent="0.4">
      <c r="A354" t="s">
        <v>9</v>
      </c>
      <c r="B354" t="s">
        <v>10</v>
      </c>
      <c r="C354" t="s">
        <v>11</v>
      </c>
      <c r="D354" t="s">
        <v>12</v>
      </c>
      <c r="E354" t="s">
        <v>222</v>
      </c>
      <c r="F354" t="s">
        <v>223</v>
      </c>
      <c r="G354" t="s">
        <v>16</v>
      </c>
      <c r="H354" t="s">
        <v>160</v>
      </c>
      <c r="I354" s="1">
        <v>1</v>
      </c>
      <c r="J354" s="1">
        <v>0</v>
      </c>
      <c r="K354" s="1">
        <f t="shared" si="5"/>
        <v>1</v>
      </c>
    </row>
    <row r="355" spans="1:11" x14ac:dyDescent="0.4">
      <c r="A355" t="s">
        <v>9</v>
      </c>
      <c r="B355" t="s">
        <v>10</v>
      </c>
      <c r="C355" t="s">
        <v>11</v>
      </c>
      <c r="D355" t="s">
        <v>12</v>
      </c>
      <c r="E355" t="s">
        <v>222</v>
      </c>
      <c r="F355" t="s">
        <v>223</v>
      </c>
      <c r="G355" t="s">
        <v>16</v>
      </c>
      <c r="H355" t="s">
        <v>31</v>
      </c>
      <c r="I355" s="1">
        <v>6</v>
      </c>
      <c r="J355" s="1">
        <v>2</v>
      </c>
      <c r="K355" s="1">
        <f t="shared" si="5"/>
        <v>8</v>
      </c>
    </row>
    <row r="356" spans="1:11" x14ac:dyDescent="0.4">
      <c r="A356" t="s">
        <v>9</v>
      </c>
      <c r="B356" t="s">
        <v>10</v>
      </c>
      <c r="C356" t="s">
        <v>11</v>
      </c>
      <c r="D356" t="s">
        <v>12</v>
      </c>
      <c r="E356" t="s">
        <v>222</v>
      </c>
      <c r="F356" t="s">
        <v>223</v>
      </c>
      <c r="G356" t="s">
        <v>16</v>
      </c>
      <c r="H356" t="s">
        <v>18</v>
      </c>
      <c r="I356" s="1">
        <v>1</v>
      </c>
      <c r="J356" s="1">
        <v>0</v>
      </c>
      <c r="K356" s="1">
        <f t="shared" si="5"/>
        <v>1</v>
      </c>
    </row>
    <row r="357" spans="1:11" hidden="1" x14ac:dyDescent="0.4">
      <c r="A357" t="s">
        <v>9</v>
      </c>
      <c r="B357" t="s">
        <v>10</v>
      </c>
      <c r="C357" t="s">
        <v>11</v>
      </c>
      <c r="D357" t="s">
        <v>12</v>
      </c>
      <c r="E357" t="s">
        <v>222</v>
      </c>
      <c r="F357" t="s">
        <v>223</v>
      </c>
      <c r="G357" t="s">
        <v>16</v>
      </c>
      <c r="H357" t="s">
        <v>8</v>
      </c>
      <c r="I357" s="1">
        <v>37</v>
      </c>
      <c r="J357" s="1">
        <v>14</v>
      </c>
      <c r="K357" s="1">
        <f t="shared" si="5"/>
        <v>51</v>
      </c>
    </row>
    <row r="358" spans="1:11" x14ac:dyDescent="0.4">
      <c r="A358" t="s">
        <v>9</v>
      </c>
      <c r="B358" t="s">
        <v>10</v>
      </c>
      <c r="C358" t="s">
        <v>11</v>
      </c>
      <c r="D358" t="s">
        <v>12</v>
      </c>
      <c r="E358" t="s">
        <v>222</v>
      </c>
      <c r="F358" t="s">
        <v>223</v>
      </c>
      <c r="G358" t="s">
        <v>16</v>
      </c>
      <c r="H358" t="s">
        <v>23</v>
      </c>
      <c r="I358" s="1">
        <v>10</v>
      </c>
      <c r="J358" s="1">
        <v>2</v>
      </c>
      <c r="K358" s="1">
        <f t="shared" si="5"/>
        <v>12</v>
      </c>
    </row>
    <row r="359" spans="1:11" hidden="1" x14ac:dyDescent="0.4">
      <c r="A359" t="s">
        <v>9</v>
      </c>
      <c r="B359" t="s">
        <v>10</v>
      </c>
      <c r="C359" t="s">
        <v>11</v>
      </c>
      <c r="D359" t="s">
        <v>12</v>
      </c>
      <c r="E359" t="s">
        <v>224</v>
      </c>
      <c r="F359" t="s">
        <v>225</v>
      </c>
      <c r="G359" t="s">
        <v>16</v>
      </c>
      <c r="H359" t="s">
        <v>8</v>
      </c>
      <c r="I359" s="1">
        <v>2</v>
      </c>
      <c r="J359" s="1">
        <v>0</v>
      </c>
      <c r="K359" s="1">
        <f t="shared" si="5"/>
        <v>2</v>
      </c>
    </row>
    <row r="360" spans="1:11" x14ac:dyDescent="0.4">
      <c r="A360" t="s">
        <v>9</v>
      </c>
      <c r="B360" t="s">
        <v>10</v>
      </c>
      <c r="C360" t="s">
        <v>11</v>
      </c>
      <c r="D360" t="s">
        <v>12</v>
      </c>
      <c r="E360" t="s">
        <v>224</v>
      </c>
      <c r="F360" t="s">
        <v>225</v>
      </c>
      <c r="G360" t="s">
        <v>16</v>
      </c>
      <c r="H360" t="s">
        <v>23</v>
      </c>
      <c r="I360" s="1">
        <v>2</v>
      </c>
      <c r="J360" s="1">
        <v>0</v>
      </c>
      <c r="K360" s="1">
        <f t="shared" si="5"/>
        <v>2</v>
      </c>
    </row>
    <row r="361" spans="1:11" hidden="1" x14ac:dyDescent="0.4">
      <c r="A361" t="s">
        <v>9</v>
      </c>
      <c r="B361" t="s">
        <v>10</v>
      </c>
      <c r="C361" t="s">
        <v>11</v>
      </c>
      <c r="D361" t="s">
        <v>12</v>
      </c>
      <c r="E361" t="s">
        <v>226</v>
      </c>
      <c r="F361" t="s">
        <v>227</v>
      </c>
      <c r="G361" t="s">
        <v>16</v>
      </c>
      <c r="H361" t="s">
        <v>8</v>
      </c>
      <c r="I361" s="1">
        <v>1</v>
      </c>
      <c r="J361" s="1">
        <v>0</v>
      </c>
      <c r="K361" s="1">
        <f t="shared" si="5"/>
        <v>1</v>
      </c>
    </row>
    <row r="362" spans="1:11" x14ac:dyDescent="0.4">
      <c r="A362" t="s">
        <v>9</v>
      </c>
      <c r="B362" t="s">
        <v>10</v>
      </c>
      <c r="C362" t="s">
        <v>11</v>
      </c>
      <c r="D362" t="s">
        <v>12</v>
      </c>
      <c r="E362" t="s">
        <v>226</v>
      </c>
      <c r="F362" t="s">
        <v>227</v>
      </c>
      <c r="G362" t="s">
        <v>16</v>
      </c>
      <c r="H362" t="s">
        <v>23</v>
      </c>
      <c r="I362" s="1">
        <v>1</v>
      </c>
      <c r="J362" s="1">
        <v>0</v>
      </c>
      <c r="K362" s="1">
        <f t="shared" si="5"/>
        <v>1</v>
      </c>
    </row>
    <row r="363" spans="1:11" x14ac:dyDescent="0.4">
      <c r="A363" t="s">
        <v>9</v>
      </c>
      <c r="B363" t="s">
        <v>10</v>
      </c>
      <c r="C363" t="s">
        <v>11</v>
      </c>
      <c r="D363" t="s">
        <v>12</v>
      </c>
      <c r="E363" t="s">
        <v>228</v>
      </c>
      <c r="F363" t="s">
        <v>229</v>
      </c>
      <c r="G363" t="s">
        <v>16</v>
      </c>
      <c r="H363" t="s">
        <v>28</v>
      </c>
      <c r="I363" s="1">
        <v>1</v>
      </c>
      <c r="J363" s="1">
        <v>0</v>
      </c>
      <c r="K363" s="1">
        <f t="shared" si="5"/>
        <v>1</v>
      </c>
    </row>
    <row r="364" spans="1:11" hidden="1" x14ac:dyDescent="0.4">
      <c r="A364" t="s">
        <v>9</v>
      </c>
      <c r="B364" t="s">
        <v>10</v>
      </c>
      <c r="C364" t="s">
        <v>11</v>
      </c>
      <c r="D364" t="s">
        <v>12</v>
      </c>
      <c r="E364" t="s">
        <v>228</v>
      </c>
      <c r="F364" t="s">
        <v>229</v>
      </c>
      <c r="G364" t="s">
        <v>16</v>
      </c>
      <c r="H364" t="s">
        <v>8</v>
      </c>
      <c r="I364" s="1">
        <v>1</v>
      </c>
      <c r="J364" s="1">
        <v>0</v>
      </c>
      <c r="K364" s="1">
        <f t="shared" si="5"/>
        <v>1</v>
      </c>
    </row>
    <row r="365" spans="1:11" x14ac:dyDescent="0.4">
      <c r="A365" t="s">
        <v>9</v>
      </c>
      <c r="B365" t="s">
        <v>10</v>
      </c>
      <c r="C365" t="s">
        <v>11</v>
      </c>
      <c r="D365" t="s">
        <v>12</v>
      </c>
      <c r="E365" t="s">
        <v>230</v>
      </c>
      <c r="F365" t="s">
        <v>231</v>
      </c>
      <c r="G365" t="s">
        <v>16</v>
      </c>
      <c r="H365" t="s">
        <v>17</v>
      </c>
      <c r="I365" s="1">
        <v>2</v>
      </c>
      <c r="J365" s="1">
        <v>1</v>
      </c>
      <c r="K365" s="1">
        <f t="shared" si="5"/>
        <v>3</v>
      </c>
    </row>
    <row r="366" spans="1:11" x14ac:dyDescent="0.4">
      <c r="A366" t="s">
        <v>9</v>
      </c>
      <c r="B366" t="s">
        <v>10</v>
      </c>
      <c r="C366" t="s">
        <v>11</v>
      </c>
      <c r="D366" t="s">
        <v>12</v>
      </c>
      <c r="E366" t="s">
        <v>230</v>
      </c>
      <c r="F366" t="s">
        <v>231</v>
      </c>
      <c r="G366" t="s">
        <v>16</v>
      </c>
      <c r="H366" t="s">
        <v>40</v>
      </c>
      <c r="I366" s="1">
        <v>0</v>
      </c>
      <c r="J366" s="1">
        <v>1</v>
      </c>
      <c r="K366" s="1">
        <f t="shared" si="5"/>
        <v>1</v>
      </c>
    </row>
    <row r="367" spans="1:11" hidden="1" x14ac:dyDescent="0.4">
      <c r="A367" t="s">
        <v>9</v>
      </c>
      <c r="B367" t="s">
        <v>10</v>
      </c>
      <c r="C367" t="s">
        <v>11</v>
      </c>
      <c r="D367" t="s">
        <v>12</v>
      </c>
      <c r="E367" t="s">
        <v>230</v>
      </c>
      <c r="F367" t="s">
        <v>231</v>
      </c>
      <c r="G367" t="s">
        <v>16</v>
      </c>
      <c r="H367" t="s">
        <v>8</v>
      </c>
      <c r="I367" s="1">
        <v>3</v>
      </c>
      <c r="J367" s="1">
        <v>2</v>
      </c>
      <c r="K367" s="1">
        <f t="shared" si="5"/>
        <v>5</v>
      </c>
    </row>
    <row r="368" spans="1:11" x14ac:dyDescent="0.4">
      <c r="A368" t="s">
        <v>9</v>
      </c>
      <c r="B368" t="s">
        <v>10</v>
      </c>
      <c r="C368" t="s">
        <v>11</v>
      </c>
      <c r="D368" t="s">
        <v>12</v>
      </c>
      <c r="E368" t="s">
        <v>230</v>
      </c>
      <c r="F368" t="s">
        <v>231</v>
      </c>
      <c r="G368" t="s">
        <v>16</v>
      </c>
      <c r="H368" t="s">
        <v>23</v>
      </c>
      <c r="I368" s="1">
        <v>1</v>
      </c>
      <c r="J368" s="1">
        <v>0</v>
      </c>
      <c r="K368" s="1">
        <f t="shared" si="5"/>
        <v>1</v>
      </c>
    </row>
    <row r="369" spans="1:11" x14ac:dyDescent="0.4">
      <c r="A369" t="s">
        <v>9</v>
      </c>
      <c r="B369" t="s">
        <v>10</v>
      </c>
      <c r="C369" t="s">
        <v>11</v>
      </c>
      <c r="D369" t="s">
        <v>12</v>
      </c>
      <c r="E369" t="s">
        <v>232</v>
      </c>
      <c r="F369" t="s">
        <v>233</v>
      </c>
      <c r="G369" t="s">
        <v>16</v>
      </c>
      <c r="H369" t="s">
        <v>31</v>
      </c>
      <c r="I369" s="1">
        <v>1</v>
      </c>
      <c r="J369" s="1">
        <v>0</v>
      </c>
      <c r="K369" s="1">
        <f t="shared" si="5"/>
        <v>1</v>
      </c>
    </row>
    <row r="370" spans="1:11" hidden="1" x14ac:dyDescent="0.4">
      <c r="A370" t="s">
        <v>9</v>
      </c>
      <c r="B370" t="s">
        <v>10</v>
      </c>
      <c r="C370" t="s">
        <v>11</v>
      </c>
      <c r="D370" t="s">
        <v>12</v>
      </c>
      <c r="E370" t="s">
        <v>232</v>
      </c>
      <c r="F370" t="s">
        <v>233</v>
      </c>
      <c r="G370" t="s">
        <v>16</v>
      </c>
      <c r="H370" t="s">
        <v>8</v>
      </c>
      <c r="I370" s="1">
        <v>2</v>
      </c>
      <c r="J370" s="1">
        <v>0</v>
      </c>
      <c r="K370" s="1">
        <f t="shared" si="5"/>
        <v>2</v>
      </c>
    </row>
    <row r="371" spans="1:11" x14ac:dyDescent="0.4">
      <c r="A371" t="s">
        <v>9</v>
      </c>
      <c r="B371" t="s">
        <v>10</v>
      </c>
      <c r="C371" t="s">
        <v>11</v>
      </c>
      <c r="D371" t="s">
        <v>12</v>
      </c>
      <c r="E371" t="s">
        <v>232</v>
      </c>
      <c r="F371" t="s">
        <v>233</v>
      </c>
      <c r="G371" t="s">
        <v>16</v>
      </c>
      <c r="H371" t="s">
        <v>23</v>
      </c>
      <c r="I371" s="1">
        <v>1</v>
      </c>
      <c r="J371" s="1">
        <v>0</v>
      </c>
      <c r="K371" s="1">
        <f t="shared" si="5"/>
        <v>1</v>
      </c>
    </row>
    <row r="372" spans="1:11" x14ac:dyDescent="0.4">
      <c r="A372" t="s">
        <v>9</v>
      </c>
      <c r="B372" t="s">
        <v>10</v>
      </c>
      <c r="C372" t="s">
        <v>11</v>
      </c>
      <c r="D372" t="s">
        <v>12</v>
      </c>
      <c r="E372" t="s">
        <v>234</v>
      </c>
      <c r="F372" t="s">
        <v>235</v>
      </c>
      <c r="G372" t="s">
        <v>16</v>
      </c>
      <c r="H372" t="s">
        <v>17</v>
      </c>
      <c r="I372" s="1">
        <v>0</v>
      </c>
      <c r="J372" s="1">
        <v>1</v>
      </c>
      <c r="K372" s="1">
        <f t="shared" si="5"/>
        <v>1</v>
      </c>
    </row>
    <row r="373" spans="1:11" hidden="1" x14ac:dyDescent="0.4">
      <c r="A373" t="s">
        <v>9</v>
      </c>
      <c r="B373" t="s">
        <v>10</v>
      </c>
      <c r="C373" t="s">
        <v>11</v>
      </c>
      <c r="D373" t="s">
        <v>12</v>
      </c>
      <c r="E373" t="s">
        <v>234</v>
      </c>
      <c r="F373" t="s">
        <v>235</v>
      </c>
      <c r="G373" t="s">
        <v>16</v>
      </c>
      <c r="H373" t="s">
        <v>8</v>
      </c>
      <c r="I373" s="1">
        <v>0</v>
      </c>
      <c r="J373" s="1">
        <v>1</v>
      </c>
      <c r="K373" s="1">
        <f t="shared" si="5"/>
        <v>1</v>
      </c>
    </row>
    <row r="374" spans="1:11" x14ac:dyDescent="0.4">
      <c r="A374" t="s">
        <v>9</v>
      </c>
      <c r="B374" t="s">
        <v>10</v>
      </c>
      <c r="C374" t="s">
        <v>11</v>
      </c>
      <c r="D374" t="s">
        <v>12</v>
      </c>
      <c r="E374" t="s">
        <v>236</v>
      </c>
      <c r="F374" t="s">
        <v>237</v>
      </c>
      <c r="G374" t="s">
        <v>16</v>
      </c>
      <c r="H374" t="s">
        <v>17</v>
      </c>
      <c r="I374" s="1">
        <v>1</v>
      </c>
      <c r="J374" s="1">
        <v>0</v>
      </c>
      <c r="K374" s="1">
        <f t="shared" si="5"/>
        <v>1</v>
      </c>
    </row>
    <row r="375" spans="1:11" x14ac:dyDescent="0.4">
      <c r="A375" t="s">
        <v>9</v>
      </c>
      <c r="B375" t="s">
        <v>10</v>
      </c>
      <c r="C375" t="s">
        <v>11</v>
      </c>
      <c r="D375" t="s">
        <v>12</v>
      </c>
      <c r="E375" t="s">
        <v>236</v>
      </c>
      <c r="F375" t="s">
        <v>237</v>
      </c>
      <c r="G375" t="s">
        <v>16</v>
      </c>
      <c r="H375" t="s">
        <v>15</v>
      </c>
      <c r="I375" s="1">
        <v>0</v>
      </c>
      <c r="J375" s="1">
        <v>1</v>
      </c>
      <c r="K375" s="1">
        <f t="shared" si="5"/>
        <v>1</v>
      </c>
    </row>
    <row r="376" spans="1:11" hidden="1" x14ac:dyDescent="0.4">
      <c r="A376" t="s">
        <v>9</v>
      </c>
      <c r="B376" t="s">
        <v>10</v>
      </c>
      <c r="C376" t="s">
        <v>11</v>
      </c>
      <c r="D376" t="s">
        <v>12</v>
      </c>
      <c r="E376" t="s">
        <v>236</v>
      </c>
      <c r="F376" t="s">
        <v>237</v>
      </c>
      <c r="G376" t="s">
        <v>16</v>
      </c>
      <c r="H376" t="s">
        <v>8</v>
      </c>
      <c r="I376" s="1">
        <v>1</v>
      </c>
      <c r="J376" s="1">
        <v>1</v>
      </c>
      <c r="K376" s="1">
        <f t="shared" si="5"/>
        <v>2</v>
      </c>
    </row>
    <row r="377" spans="1:11" x14ac:dyDescent="0.4">
      <c r="A377" t="s">
        <v>9</v>
      </c>
      <c r="B377" t="s">
        <v>10</v>
      </c>
      <c r="C377" t="s">
        <v>11</v>
      </c>
      <c r="D377" t="s">
        <v>12</v>
      </c>
      <c r="E377" t="s">
        <v>238</v>
      </c>
      <c r="F377" t="s">
        <v>239</v>
      </c>
      <c r="G377" t="s">
        <v>16</v>
      </c>
      <c r="H377" t="s">
        <v>15</v>
      </c>
      <c r="I377" s="1">
        <v>1</v>
      </c>
      <c r="J377" s="1">
        <v>0</v>
      </c>
      <c r="K377" s="1">
        <f t="shared" si="5"/>
        <v>1</v>
      </c>
    </row>
    <row r="378" spans="1:11" hidden="1" x14ac:dyDescent="0.4">
      <c r="A378" t="s">
        <v>9</v>
      </c>
      <c r="B378" t="s">
        <v>10</v>
      </c>
      <c r="C378" t="s">
        <v>11</v>
      </c>
      <c r="D378" t="s">
        <v>12</v>
      </c>
      <c r="E378" t="s">
        <v>238</v>
      </c>
      <c r="F378" t="s">
        <v>239</v>
      </c>
      <c r="G378" t="s">
        <v>16</v>
      </c>
      <c r="H378" t="s">
        <v>8</v>
      </c>
      <c r="I378" s="1">
        <v>1</v>
      </c>
      <c r="J378" s="1">
        <v>0</v>
      </c>
      <c r="K378" s="1">
        <f t="shared" si="5"/>
        <v>1</v>
      </c>
    </row>
    <row r="379" spans="1:11" x14ac:dyDescent="0.4">
      <c r="A379" t="s">
        <v>9</v>
      </c>
      <c r="B379" t="s">
        <v>10</v>
      </c>
      <c r="C379" t="s">
        <v>11</v>
      </c>
      <c r="D379" t="s">
        <v>12</v>
      </c>
      <c r="E379" t="s">
        <v>240</v>
      </c>
      <c r="F379" t="s">
        <v>241</v>
      </c>
      <c r="G379" t="s">
        <v>16</v>
      </c>
      <c r="H379" t="s">
        <v>17</v>
      </c>
      <c r="I379" s="1">
        <v>1</v>
      </c>
      <c r="J379" s="1">
        <v>0</v>
      </c>
      <c r="K379" s="1">
        <f t="shared" si="5"/>
        <v>1</v>
      </c>
    </row>
    <row r="380" spans="1:11" x14ac:dyDescent="0.4">
      <c r="A380" t="s">
        <v>9</v>
      </c>
      <c r="B380" t="s">
        <v>10</v>
      </c>
      <c r="C380" t="s">
        <v>11</v>
      </c>
      <c r="D380" t="s">
        <v>12</v>
      </c>
      <c r="E380" t="s">
        <v>240</v>
      </c>
      <c r="F380" t="s">
        <v>241</v>
      </c>
      <c r="G380" t="s">
        <v>16</v>
      </c>
      <c r="H380" t="s">
        <v>209</v>
      </c>
      <c r="I380" s="1">
        <v>1</v>
      </c>
      <c r="J380" s="1">
        <v>0</v>
      </c>
      <c r="K380" s="1">
        <f t="shared" si="5"/>
        <v>1</v>
      </c>
    </row>
    <row r="381" spans="1:11" hidden="1" x14ac:dyDescent="0.4">
      <c r="A381" t="s">
        <v>9</v>
      </c>
      <c r="B381" t="s">
        <v>10</v>
      </c>
      <c r="C381" t="s">
        <v>11</v>
      </c>
      <c r="D381" t="s">
        <v>12</v>
      </c>
      <c r="E381" t="s">
        <v>240</v>
      </c>
      <c r="F381" t="s">
        <v>241</v>
      </c>
      <c r="G381" t="s">
        <v>16</v>
      </c>
      <c r="H381" t="s">
        <v>8</v>
      </c>
      <c r="I381" s="1">
        <v>2</v>
      </c>
      <c r="J381" s="1">
        <v>0</v>
      </c>
      <c r="K381" s="1">
        <f t="shared" si="5"/>
        <v>2</v>
      </c>
    </row>
    <row r="382" spans="1:11" x14ac:dyDescent="0.4">
      <c r="A382" t="s">
        <v>9</v>
      </c>
      <c r="B382" t="s">
        <v>10</v>
      </c>
      <c r="C382" t="s">
        <v>11</v>
      </c>
      <c r="D382" t="s">
        <v>12</v>
      </c>
      <c r="E382" t="s">
        <v>242</v>
      </c>
      <c r="F382" t="s">
        <v>243</v>
      </c>
      <c r="G382" t="s">
        <v>16</v>
      </c>
      <c r="H382" t="s">
        <v>17</v>
      </c>
      <c r="I382" s="1">
        <v>1</v>
      </c>
      <c r="J382" s="1">
        <v>1</v>
      </c>
      <c r="K382" s="1">
        <f t="shared" si="5"/>
        <v>2</v>
      </c>
    </row>
    <row r="383" spans="1:11" hidden="1" x14ac:dyDescent="0.4">
      <c r="A383" t="s">
        <v>9</v>
      </c>
      <c r="B383" t="s">
        <v>10</v>
      </c>
      <c r="C383" t="s">
        <v>11</v>
      </c>
      <c r="D383" t="s">
        <v>12</v>
      </c>
      <c r="E383" t="s">
        <v>242</v>
      </c>
      <c r="F383" t="s">
        <v>243</v>
      </c>
      <c r="G383" t="s">
        <v>16</v>
      </c>
      <c r="H383" t="s">
        <v>8</v>
      </c>
      <c r="I383" s="1">
        <v>1</v>
      </c>
      <c r="J383" s="1">
        <v>1</v>
      </c>
      <c r="K383" s="1">
        <f t="shared" si="5"/>
        <v>2</v>
      </c>
    </row>
    <row r="384" spans="1:11" x14ac:dyDescent="0.4">
      <c r="A384" t="s">
        <v>9</v>
      </c>
      <c r="B384" t="s">
        <v>10</v>
      </c>
      <c r="C384" t="s">
        <v>11</v>
      </c>
      <c r="D384" t="s">
        <v>12</v>
      </c>
      <c r="E384" t="s">
        <v>244</v>
      </c>
      <c r="F384" t="s">
        <v>245</v>
      </c>
      <c r="G384" t="s">
        <v>16</v>
      </c>
      <c r="H384" t="s">
        <v>17</v>
      </c>
      <c r="I384" s="1">
        <v>1</v>
      </c>
      <c r="J384" s="1">
        <v>0</v>
      </c>
      <c r="K384" s="1">
        <f t="shared" si="5"/>
        <v>1</v>
      </c>
    </row>
    <row r="385" spans="1:11" hidden="1" x14ac:dyDescent="0.4">
      <c r="A385" t="s">
        <v>9</v>
      </c>
      <c r="B385" t="s">
        <v>10</v>
      </c>
      <c r="C385" t="s">
        <v>11</v>
      </c>
      <c r="D385" t="s">
        <v>12</v>
      </c>
      <c r="E385" t="s">
        <v>244</v>
      </c>
      <c r="F385" t="s">
        <v>245</v>
      </c>
      <c r="G385" t="s">
        <v>16</v>
      </c>
      <c r="H385" t="s">
        <v>8</v>
      </c>
      <c r="I385" s="1">
        <v>1</v>
      </c>
      <c r="J385" s="1">
        <v>0</v>
      </c>
      <c r="K385" s="1">
        <f t="shared" si="5"/>
        <v>1</v>
      </c>
    </row>
    <row r="386" spans="1:11" hidden="1" x14ac:dyDescent="0.4">
      <c r="A386" t="s">
        <v>9</v>
      </c>
      <c r="B386" t="s">
        <v>10</v>
      </c>
      <c r="C386" t="s">
        <v>11</v>
      </c>
      <c r="D386" t="s">
        <v>12</v>
      </c>
      <c r="E386" t="s">
        <v>246</v>
      </c>
      <c r="F386" t="s">
        <v>247</v>
      </c>
      <c r="G386" t="s">
        <v>16</v>
      </c>
      <c r="H386" t="s">
        <v>8</v>
      </c>
      <c r="I386" s="1">
        <v>1</v>
      </c>
      <c r="J386" s="1">
        <v>0</v>
      </c>
      <c r="K386" s="1">
        <f t="shared" si="5"/>
        <v>1</v>
      </c>
    </row>
    <row r="387" spans="1:11" x14ac:dyDescent="0.4">
      <c r="A387" t="s">
        <v>9</v>
      </c>
      <c r="B387" t="s">
        <v>10</v>
      </c>
      <c r="C387" t="s">
        <v>11</v>
      </c>
      <c r="D387" t="s">
        <v>12</v>
      </c>
      <c r="E387" t="s">
        <v>246</v>
      </c>
      <c r="F387" t="s">
        <v>247</v>
      </c>
      <c r="G387" t="s">
        <v>16</v>
      </c>
      <c r="H387" t="s">
        <v>23</v>
      </c>
      <c r="I387" s="1">
        <v>1</v>
      </c>
      <c r="J387" s="1">
        <v>0</v>
      </c>
      <c r="K387" s="1">
        <f t="shared" ref="K387:K450" si="6">SUM(I387,J387)</f>
        <v>1</v>
      </c>
    </row>
    <row r="388" spans="1:11" x14ac:dyDescent="0.4">
      <c r="A388" t="s">
        <v>9</v>
      </c>
      <c r="B388" t="s">
        <v>10</v>
      </c>
      <c r="C388" t="s">
        <v>11</v>
      </c>
      <c r="D388" t="s">
        <v>12</v>
      </c>
      <c r="E388" t="s">
        <v>248</v>
      </c>
      <c r="F388" t="s">
        <v>249</v>
      </c>
      <c r="G388" t="s">
        <v>16</v>
      </c>
      <c r="H388" t="s">
        <v>18</v>
      </c>
      <c r="I388" s="1">
        <v>1</v>
      </c>
      <c r="J388" s="1">
        <v>0</v>
      </c>
      <c r="K388" s="1">
        <f t="shared" si="6"/>
        <v>1</v>
      </c>
    </row>
    <row r="389" spans="1:11" hidden="1" x14ac:dyDescent="0.4">
      <c r="A389" t="s">
        <v>9</v>
      </c>
      <c r="B389" t="s">
        <v>10</v>
      </c>
      <c r="C389" t="s">
        <v>11</v>
      </c>
      <c r="D389" t="s">
        <v>12</v>
      </c>
      <c r="E389" t="s">
        <v>248</v>
      </c>
      <c r="F389" t="s">
        <v>249</v>
      </c>
      <c r="G389" t="s">
        <v>16</v>
      </c>
      <c r="H389" t="s">
        <v>8</v>
      </c>
      <c r="I389" s="1">
        <v>1</v>
      </c>
      <c r="J389" s="1">
        <v>0</v>
      </c>
      <c r="K389" s="1">
        <f t="shared" si="6"/>
        <v>1</v>
      </c>
    </row>
    <row r="390" spans="1:11" x14ac:dyDescent="0.4">
      <c r="A390" t="s">
        <v>9</v>
      </c>
      <c r="B390" t="s">
        <v>10</v>
      </c>
      <c r="C390" t="s">
        <v>11</v>
      </c>
      <c r="D390" t="s">
        <v>12</v>
      </c>
      <c r="E390" t="s">
        <v>250</v>
      </c>
      <c r="F390" t="s">
        <v>251</v>
      </c>
      <c r="G390" t="s">
        <v>16</v>
      </c>
      <c r="H390" t="s">
        <v>15</v>
      </c>
      <c r="I390" s="1">
        <v>0</v>
      </c>
      <c r="J390" s="1">
        <v>1</v>
      </c>
      <c r="K390" s="1">
        <f t="shared" si="6"/>
        <v>1</v>
      </c>
    </row>
    <row r="391" spans="1:11" hidden="1" x14ac:dyDescent="0.4">
      <c r="A391" t="s">
        <v>9</v>
      </c>
      <c r="B391" t="s">
        <v>10</v>
      </c>
      <c r="C391" t="s">
        <v>11</v>
      </c>
      <c r="D391" t="s">
        <v>12</v>
      </c>
      <c r="E391" t="s">
        <v>250</v>
      </c>
      <c r="F391" t="s">
        <v>251</v>
      </c>
      <c r="G391" t="s">
        <v>16</v>
      </c>
      <c r="H391" t="s">
        <v>8</v>
      </c>
      <c r="I391" s="1">
        <v>0</v>
      </c>
      <c r="J391" s="1">
        <v>1</v>
      </c>
      <c r="K391" s="1">
        <f t="shared" si="6"/>
        <v>1</v>
      </c>
    </row>
    <row r="392" spans="1:11" x14ac:dyDescent="0.4">
      <c r="A392" t="s">
        <v>9</v>
      </c>
      <c r="B392" t="s">
        <v>10</v>
      </c>
      <c r="C392" t="s">
        <v>11</v>
      </c>
      <c r="D392" t="s">
        <v>12</v>
      </c>
      <c r="E392" t="s">
        <v>252</v>
      </c>
      <c r="F392" t="s">
        <v>253</v>
      </c>
      <c r="G392" t="s">
        <v>16</v>
      </c>
      <c r="H392" t="s">
        <v>17</v>
      </c>
      <c r="I392" s="1">
        <v>1</v>
      </c>
      <c r="J392" s="1">
        <v>0</v>
      </c>
      <c r="K392" s="1">
        <f t="shared" si="6"/>
        <v>1</v>
      </c>
    </row>
    <row r="393" spans="1:11" hidden="1" x14ac:dyDescent="0.4">
      <c r="A393" t="s">
        <v>9</v>
      </c>
      <c r="B393" t="s">
        <v>10</v>
      </c>
      <c r="C393" t="s">
        <v>11</v>
      </c>
      <c r="D393" t="s">
        <v>12</v>
      </c>
      <c r="E393" t="s">
        <v>252</v>
      </c>
      <c r="F393" t="s">
        <v>253</v>
      </c>
      <c r="G393" t="s">
        <v>16</v>
      </c>
      <c r="H393" t="s">
        <v>8</v>
      </c>
      <c r="I393" s="1">
        <v>1</v>
      </c>
      <c r="J393" s="1">
        <v>0</v>
      </c>
      <c r="K393" s="1">
        <f t="shared" si="6"/>
        <v>1</v>
      </c>
    </row>
    <row r="394" spans="1:11" x14ac:dyDescent="0.4">
      <c r="A394" t="s">
        <v>9</v>
      </c>
      <c r="B394" t="s">
        <v>10</v>
      </c>
      <c r="C394" t="s">
        <v>11</v>
      </c>
      <c r="D394" t="s">
        <v>12</v>
      </c>
      <c r="E394" t="s">
        <v>254</v>
      </c>
      <c r="F394" t="s">
        <v>255</v>
      </c>
      <c r="G394" t="s">
        <v>16</v>
      </c>
      <c r="H394" t="s">
        <v>34</v>
      </c>
      <c r="I394" s="1">
        <v>3</v>
      </c>
      <c r="J394" s="1">
        <v>0</v>
      </c>
      <c r="K394" s="1">
        <f t="shared" si="6"/>
        <v>3</v>
      </c>
    </row>
    <row r="395" spans="1:11" x14ac:dyDescent="0.4">
      <c r="A395" t="s">
        <v>9</v>
      </c>
      <c r="B395" t="s">
        <v>10</v>
      </c>
      <c r="C395" t="s">
        <v>11</v>
      </c>
      <c r="D395" t="s">
        <v>12</v>
      </c>
      <c r="E395" t="s">
        <v>254</v>
      </c>
      <c r="F395" t="s">
        <v>255</v>
      </c>
      <c r="G395" t="s">
        <v>16</v>
      </c>
      <c r="H395" t="s">
        <v>17</v>
      </c>
      <c r="I395" s="1">
        <v>0</v>
      </c>
      <c r="J395" s="1">
        <v>1</v>
      </c>
      <c r="K395" s="1">
        <f t="shared" si="6"/>
        <v>1</v>
      </c>
    </row>
    <row r="396" spans="1:11" hidden="1" x14ac:dyDescent="0.4">
      <c r="A396" t="s">
        <v>9</v>
      </c>
      <c r="B396" t="s">
        <v>10</v>
      </c>
      <c r="C396" t="s">
        <v>11</v>
      </c>
      <c r="D396" t="s">
        <v>12</v>
      </c>
      <c r="E396" t="s">
        <v>254</v>
      </c>
      <c r="F396" t="s">
        <v>255</v>
      </c>
      <c r="G396" t="s">
        <v>16</v>
      </c>
      <c r="H396" t="s">
        <v>8</v>
      </c>
      <c r="I396" s="1">
        <v>3</v>
      </c>
      <c r="J396" s="1">
        <v>1</v>
      </c>
      <c r="K396" s="1">
        <f t="shared" si="6"/>
        <v>4</v>
      </c>
    </row>
    <row r="397" spans="1:11" x14ac:dyDescent="0.4">
      <c r="A397" t="s">
        <v>9</v>
      </c>
      <c r="B397" t="s">
        <v>10</v>
      </c>
      <c r="C397" t="s">
        <v>11</v>
      </c>
      <c r="D397" t="s">
        <v>12</v>
      </c>
      <c r="E397" t="s">
        <v>256</v>
      </c>
      <c r="F397" t="s">
        <v>257</v>
      </c>
      <c r="G397" t="s">
        <v>16</v>
      </c>
      <c r="H397" t="s">
        <v>17</v>
      </c>
      <c r="I397" s="1">
        <v>0</v>
      </c>
      <c r="J397" s="1">
        <v>1</v>
      </c>
      <c r="K397" s="1">
        <f t="shared" si="6"/>
        <v>1</v>
      </c>
    </row>
    <row r="398" spans="1:11" hidden="1" x14ac:dyDescent="0.4">
      <c r="A398" t="s">
        <v>9</v>
      </c>
      <c r="B398" t="s">
        <v>10</v>
      </c>
      <c r="C398" t="s">
        <v>11</v>
      </c>
      <c r="D398" t="s">
        <v>12</v>
      </c>
      <c r="E398" t="s">
        <v>256</v>
      </c>
      <c r="F398" t="s">
        <v>257</v>
      </c>
      <c r="G398" t="s">
        <v>16</v>
      </c>
      <c r="H398" t="s">
        <v>8</v>
      </c>
      <c r="I398" s="1">
        <v>0</v>
      </c>
      <c r="J398" s="1">
        <v>1</v>
      </c>
      <c r="K398" s="1">
        <f t="shared" si="6"/>
        <v>1</v>
      </c>
    </row>
    <row r="399" spans="1:11" x14ac:dyDescent="0.4">
      <c r="A399" t="s">
        <v>9</v>
      </c>
      <c r="B399" t="s">
        <v>10</v>
      </c>
      <c r="C399" t="s">
        <v>11</v>
      </c>
      <c r="D399" t="s">
        <v>12</v>
      </c>
      <c r="E399" t="s">
        <v>258</v>
      </c>
      <c r="F399" t="s">
        <v>259</v>
      </c>
      <c r="G399" t="s">
        <v>16</v>
      </c>
      <c r="H399" t="s">
        <v>17</v>
      </c>
      <c r="I399" s="1">
        <v>2</v>
      </c>
      <c r="J399" s="1">
        <v>3</v>
      </c>
      <c r="K399" s="1">
        <f t="shared" si="6"/>
        <v>5</v>
      </c>
    </row>
    <row r="400" spans="1:11" x14ac:dyDescent="0.4">
      <c r="A400" t="s">
        <v>9</v>
      </c>
      <c r="B400" t="s">
        <v>10</v>
      </c>
      <c r="C400" t="s">
        <v>11</v>
      </c>
      <c r="D400" t="s">
        <v>12</v>
      </c>
      <c r="E400" t="s">
        <v>258</v>
      </c>
      <c r="F400" t="s">
        <v>259</v>
      </c>
      <c r="G400" t="s">
        <v>16</v>
      </c>
      <c r="H400" t="s">
        <v>15</v>
      </c>
      <c r="I400" s="1">
        <v>0</v>
      </c>
      <c r="J400" s="1">
        <v>2</v>
      </c>
      <c r="K400" s="1">
        <f t="shared" si="6"/>
        <v>2</v>
      </c>
    </row>
    <row r="401" spans="1:11" x14ac:dyDescent="0.4">
      <c r="A401" t="s">
        <v>9</v>
      </c>
      <c r="B401" t="s">
        <v>10</v>
      </c>
      <c r="C401" t="s">
        <v>11</v>
      </c>
      <c r="D401" t="s">
        <v>12</v>
      </c>
      <c r="E401" t="s">
        <v>258</v>
      </c>
      <c r="F401" t="s">
        <v>259</v>
      </c>
      <c r="G401" t="s">
        <v>16</v>
      </c>
      <c r="H401" t="s">
        <v>38</v>
      </c>
      <c r="I401" s="1">
        <v>1</v>
      </c>
      <c r="J401" s="1">
        <v>0</v>
      </c>
      <c r="K401" s="1">
        <f t="shared" si="6"/>
        <v>1</v>
      </c>
    </row>
    <row r="402" spans="1:11" hidden="1" x14ac:dyDescent="0.4">
      <c r="A402" t="s">
        <v>9</v>
      </c>
      <c r="B402" t="s">
        <v>10</v>
      </c>
      <c r="C402" t="s">
        <v>11</v>
      </c>
      <c r="D402" t="s">
        <v>12</v>
      </c>
      <c r="E402" t="s">
        <v>258</v>
      </c>
      <c r="F402" t="s">
        <v>259</v>
      </c>
      <c r="G402" t="s">
        <v>16</v>
      </c>
      <c r="H402" t="s">
        <v>8</v>
      </c>
      <c r="I402" s="1">
        <v>4</v>
      </c>
      <c r="J402" s="1">
        <v>5</v>
      </c>
      <c r="K402" s="1">
        <f t="shared" si="6"/>
        <v>9</v>
      </c>
    </row>
    <row r="403" spans="1:11" x14ac:dyDescent="0.4">
      <c r="A403" t="s">
        <v>9</v>
      </c>
      <c r="B403" t="s">
        <v>10</v>
      </c>
      <c r="C403" t="s">
        <v>11</v>
      </c>
      <c r="D403" t="s">
        <v>12</v>
      </c>
      <c r="E403" t="s">
        <v>258</v>
      </c>
      <c r="F403" t="s">
        <v>259</v>
      </c>
      <c r="G403" t="s">
        <v>16</v>
      </c>
      <c r="H403" t="s">
        <v>23</v>
      </c>
      <c r="I403" s="1">
        <v>1</v>
      </c>
      <c r="J403" s="1">
        <v>0</v>
      </c>
      <c r="K403" s="1">
        <f t="shared" si="6"/>
        <v>1</v>
      </c>
    </row>
    <row r="404" spans="1:11" x14ac:dyDescent="0.4">
      <c r="A404" t="s">
        <v>9</v>
      </c>
      <c r="B404" t="s">
        <v>10</v>
      </c>
      <c r="C404" t="s">
        <v>11</v>
      </c>
      <c r="D404" t="s">
        <v>12</v>
      </c>
      <c r="E404" t="s">
        <v>260</v>
      </c>
      <c r="F404" t="s">
        <v>261</v>
      </c>
      <c r="G404" t="s">
        <v>16</v>
      </c>
      <c r="H404" t="s">
        <v>15</v>
      </c>
      <c r="I404" s="1">
        <v>0</v>
      </c>
      <c r="J404" s="1">
        <v>1</v>
      </c>
      <c r="K404" s="1">
        <f t="shared" si="6"/>
        <v>1</v>
      </c>
    </row>
    <row r="405" spans="1:11" x14ac:dyDescent="0.4">
      <c r="A405" t="s">
        <v>9</v>
      </c>
      <c r="B405" t="s">
        <v>10</v>
      </c>
      <c r="C405" t="s">
        <v>11</v>
      </c>
      <c r="D405" t="s">
        <v>12</v>
      </c>
      <c r="E405" t="s">
        <v>260</v>
      </c>
      <c r="F405" t="s">
        <v>261</v>
      </c>
      <c r="G405" t="s">
        <v>16</v>
      </c>
      <c r="H405" t="s">
        <v>38</v>
      </c>
      <c r="I405" s="1">
        <v>1</v>
      </c>
      <c r="J405" s="1">
        <v>0</v>
      </c>
      <c r="K405" s="1">
        <f t="shared" si="6"/>
        <v>1</v>
      </c>
    </row>
    <row r="406" spans="1:11" hidden="1" x14ac:dyDescent="0.4">
      <c r="A406" t="s">
        <v>9</v>
      </c>
      <c r="B406" t="s">
        <v>10</v>
      </c>
      <c r="C406" t="s">
        <v>11</v>
      </c>
      <c r="D406" t="s">
        <v>12</v>
      </c>
      <c r="E406" t="s">
        <v>260</v>
      </c>
      <c r="F406" t="s">
        <v>261</v>
      </c>
      <c r="G406" t="s">
        <v>16</v>
      </c>
      <c r="H406" t="s">
        <v>8</v>
      </c>
      <c r="I406" s="1">
        <v>1</v>
      </c>
      <c r="J406" s="1">
        <v>1</v>
      </c>
      <c r="K406" s="1">
        <f t="shared" si="6"/>
        <v>2</v>
      </c>
    </row>
    <row r="407" spans="1:11" x14ac:dyDescent="0.4">
      <c r="A407" t="s">
        <v>9</v>
      </c>
      <c r="B407" t="s">
        <v>10</v>
      </c>
      <c r="C407" t="s">
        <v>11</v>
      </c>
      <c r="D407" t="s">
        <v>12</v>
      </c>
      <c r="E407" t="s">
        <v>262</v>
      </c>
      <c r="F407" t="s">
        <v>263</v>
      </c>
      <c r="G407" t="s">
        <v>16</v>
      </c>
      <c r="H407" t="s">
        <v>18</v>
      </c>
      <c r="I407" s="1">
        <v>1</v>
      </c>
      <c r="J407" s="1">
        <v>0</v>
      </c>
      <c r="K407" s="1">
        <f t="shared" si="6"/>
        <v>1</v>
      </c>
    </row>
    <row r="408" spans="1:11" hidden="1" x14ac:dyDescent="0.4">
      <c r="A408" t="s">
        <v>9</v>
      </c>
      <c r="B408" t="s">
        <v>10</v>
      </c>
      <c r="C408" t="s">
        <v>11</v>
      </c>
      <c r="D408" t="s">
        <v>12</v>
      </c>
      <c r="E408" t="s">
        <v>262</v>
      </c>
      <c r="F408" t="s">
        <v>263</v>
      </c>
      <c r="G408" t="s">
        <v>16</v>
      </c>
      <c r="H408" t="s">
        <v>8</v>
      </c>
      <c r="I408" s="1">
        <v>1</v>
      </c>
      <c r="J408" s="1">
        <v>0</v>
      </c>
      <c r="K408" s="1">
        <f t="shared" si="6"/>
        <v>1</v>
      </c>
    </row>
    <row r="409" spans="1:11" x14ac:dyDescent="0.4">
      <c r="A409" t="s">
        <v>9</v>
      </c>
      <c r="B409" t="s">
        <v>10</v>
      </c>
      <c r="C409" t="s">
        <v>11</v>
      </c>
      <c r="D409" t="s">
        <v>12</v>
      </c>
      <c r="E409" t="s">
        <v>264</v>
      </c>
      <c r="F409" t="s">
        <v>265</v>
      </c>
      <c r="G409" t="s">
        <v>16</v>
      </c>
      <c r="H409" t="s">
        <v>15</v>
      </c>
      <c r="I409" s="1">
        <v>0</v>
      </c>
      <c r="J409" s="1">
        <v>1</v>
      </c>
      <c r="K409" s="1">
        <f t="shared" si="6"/>
        <v>1</v>
      </c>
    </row>
    <row r="410" spans="1:11" hidden="1" x14ac:dyDescent="0.4">
      <c r="A410" t="s">
        <v>9</v>
      </c>
      <c r="B410" t="s">
        <v>10</v>
      </c>
      <c r="C410" t="s">
        <v>11</v>
      </c>
      <c r="D410" t="s">
        <v>12</v>
      </c>
      <c r="E410" t="s">
        <v>264</v>
      </c>
      <c r="F410" t="s">
        <v>265</v>
      </c>
      <c r="G410" t="s">
        <v>16</v>
      </c>
      <c r="H410" t="s">
        <v>8</v>
      </c>
      <c r="I410" s="1">
        <v>1</v>
      </c>
      <c r="J410" s="1">
        <v>1</v>
      </c>
      <c r="K410" s="1">
        <f t="shared" si="6"/>
        <v>2</v>
      </c>
    </row>
    <row r="411" spans="1:11" x14ac:dyDescent="0.4">
      <c r="A411" t="s">
        <v>9</v>
      </c>
      <c r="B411" t="s">
        <v>10</v>
      </c>
      <c r="C411" t="s">
        <v>11</v>
      </c>
      <c r="D411" t="s">
        <v>12</v>
      </c>
      <c r="E411" t="s">
        <v>264</v>
      </c>
      <c r="F411" t="s">
        <v>265</v>
      </c>
      <c r="G411" t="s">
        <v>16</v>
      </c>
      <c r="H411" t="s">
        <v>23</v>
      </c>
      <c r="I411" s="1">
        <v>1</v>
      </c>
      <c r="J411" s="1">
        <v>0</v>
      </c>
      <c r="K411" s="1">
        <f t="shared" si="6"/>
        <v>1</v>
      </c>
    </row>
    <row r="412" spans="1:11" x14ac:dyDescent="0.4">
      <c r="A412" t="s">
        <v>9</v>
      </c>
      <c r="B412" t="s">
        <v>10</v>
      </c>
      <c r="C412" t="s">
        <v>11</v>
      </c>
      <c r="D412" t="s">
        <v>12</v>
      </c>
      <c r="E412" t="s">
        <v>266</v>
      </c>
      <c r="F412" t="s">
        <v>267</v>
      </c>
      <c r="G412" t="s">
        <v>16</v>
      </c>
      <c r="H412" t="s">
        <v>17</v>
      </c>
      <c r="I412" s="1">
        <v>0</v>
      </c>
      <c r="J412" s="1">
        <v>3</v>
      </c>
      <c r="K412" s="1">
        <f t="shared" si="6"/>
        <v>3</v>
      </c>
    </row>
    <row r="413" spans="1:11" x14ac:dyDescent="0.4">
      <c r="A413" t="s">
        <v>9</v>
      </c>
      <c r="B413" t="s">
        <v>10</v>
      </c>
      <c r="C413" t="s">
        <v>11</v>
      </c>
      <c r="D413" t="s">
        <v>12</v>
      </c>
      <c r="E413" t="s">
        <v>266</v>
      </c>
      <c r="F413" t="s">
        <v>267</v>
      </c>
      <c r="G413" t="s">
        <v>16</v>
      </c>
      <c r="H413" t="s">
        <v>15</v>
      </c>
      <c r="I413" s="1">
        <v>0</v>
      </c>
      <c r="J413" s="1">
        <v>1</v>
      </c>
      <c r="K413" s="1">
        <f t="shared" si="6"/>
        <v>1</v>
      </c>
    </row>
    <row r="414" spans="1:11" x14ac:dyDescent="0.4">
      <c r="A414" t="s">
        <v>9</v>
      </c>
      <c r="B414" t="s">
        <v>10</v>
      </c>
      <c r="C414" t="s">
        <v>11</v>
      </c>
      <c r="D414" t="s">
        <v>12</v>
      </c>
      <c r="E414" t="s">
        <v>266</v>
      </c>
      <c r="F414" t="s">
        <v>267</v>
      </c>
      <c r="G414" t="s">
        <v>16</v>
      </c>
      <c r="H414" t="s">
        <v>51</v>
      </c>
      <c r="I414" s="1">
        <v>1</v>
      </c>
      <c r="J414" s="1">
        <v>0</v>
      </c>
      <c r="K414" s="1">
        <f t="shared" si="6"/>
        <v>1</v>
      </c>
    </row>
    <row r="415" spans="1:11" hidden="1" x14ac:dyDescent="0.4">
      <c r="A415" t="s">
        <v>9</v>
      </c>
      <c r="B415" t="s">
        <v>10</v>
      </c>
      <c r="C415" t="s">
        <v>11</v>
      </c>
      <c r="D415" t="s">
        <v>12</v>
      </c>
      <c r="E415" t="s">
        <v>266</v>
      </c>
      <c r="F415" t="s">
        <v>267</v>
      </c>
      <c r="G415" t="s">
        <v>16</v>
      </c>
      <c r="H415" t="s">
        <v>8</v>
      </c>
      <c r="I415" s="1">
        <v>1</v>
      </c>
      <c r="J415" s="1">
        <v>4</v>
      </c>
      <c r="K415" s="1">
        <f t="shared" si="6"/>
        <v>5</v>
      </c>
    </row>
    <row r="416" spans="1:11" x14ac:dyDescent="0.4">
      <c r="A416" t="s">
        <v>9</v>
      </c>
      <c r="B416" t="s">
        <v>10</v>
      </c>
      <c r="C416" t="s">
        <v>11</v>
      </c>
      <c r="D416" t="s">
        <v>12</v>
      </c>
      <c r="E416" t="s">
        <v>268</v>
      </c>
      <c r="F416" t="s">
        <v>269</v>
      </c>
      <c r="G416" t="s">
        <v>16</v>
      </c>
      <c r="H416" t="s">
        <v>17</v>
      </c>
      <c r="I416" s="1">
        <v>0</v>
      </c>
      <c r="J416" s="1">
        <v>1</v>
      </c>
      <c r="K416" s="1">
        <f t="shared" si="6"/>
        <v>1</v>
      </c>
    </row>
    <row r="417" spans="1:11" x14ac:dyDescent="0.4">
      <c r="A417" t="s">
        <v>9</v>
      </c>
      <c r="B417" t="s">
        <v>10</v>
      </c>
      <c r="C417" t="s">
        <v>11</v>
      </c>
      <c r="D417" t="s">
        <v>12</v>
      </c>
      <c r="E417" t="s">
        <v>268</v>
      </c>
      <c r="F417" t="s">
        <v>269</v>
      </c>
      <c r="G417" t="s">
        <v>16</v>
      </c>
      <c r="H417" t="s">
        <v>51</v>
      </c>
      <c r="I417" s="1">
        <v>1</v>
      </c>
      <c r="J417" s="1">
        <v>0</v>
      </c>
      <c r="K417" s="1">
        <f t="shared" si="6"/>
        <v>1</v>
      </c>
    </row>
    <row r="418" spans="1:11" hidden="1" x14ac:dyDescent="0.4">
      <c r="A418" t="s">
        <v>9</v>
      </c>
      <c r="B418" t="s">
        <v>10</v>
      </c>
      <c r="C418" t="s">
        <v>11</v>
      </c>
      <c r="D418" t="s">
        <v>12</v>
      </c>
      <c r="E418" t="s">
        <v>268</v>
      </c>
      <c r="F418" t="s">
        <v>269</v>
      </c>
      <c r="G418" t="s">
        <v>16</v>
      </c>
      <c r="H418" t="s">
        <v>8</v>
      </c>
      <c r="I418" s="1">
        <v>1</v>
      </c>
      <c r="J418" s="1">
        <v>1</v>
      </c>
      <c r="K418" s="1">
        <f t="shared" si="6"/>
        <v>2</v>
      </c>
    </row>
    <row r="419" spans="1:11" x14ac:dyDescent="0.4">
      <c r="A419" t="s">
        <v>9</v>
      </c>
      <c r="B419" t="s">
        <v>10</v>
      </c>
      <c r="C419" t="s">
        <v>11</v>
      </c>
      <c r="D419" t="s">
        <v>12</v>
      </c>
      <c r="E419" t="s">
        <v>270</v>
      </c>
      <c r="F419" t="s">
        <v>271</v>
      </c>
      <c r="G419" t="s">
        <v>16</v>
      </c>
      <c r="H419" t="s">
        <v>37</v>
      </c>
      <c r="I419" s="1">
        <v>22</v>
      </c>
      <c r="J419" s="1">
        <v>5</v>
      </c>
      <c r="K419" s="1">
        <f t="shared" si="6"/>
        <v>27</v>
      </c>
    </row>
    <row r="420" spans="1:11" x14ac:dyDescent="0.4">
      <c r="A420" t="s">
        <v>9</v>
      </c>
      <c r="B420" t="s">
        <v>10</v>
      </c>
      <c r="C420" t="s">
        <v>11</v>
      </c>
      <c r="D420" t="s">
        <v>12</v>
      </c>
      <c r="E420" t="s">
        <v>270</v>
      </c>
      <c r="F420" t="s">
        <v>271</v>
      </c>
      <c r="G420" t="s">
        <v>16</v>
      </c>
      <c r="H420" t="s">
        <v>34</v>
      </c>
      <c r="I420" s="1">
        <v>49</v>
      </c>
      <c r="J420" s="1">
        <v>3</v>
      </c>
      <c r="K420" s="1">
        <f t="shared" si="6"/>
        <v>52</v>
      </c>
    </row>
    <row r="421" spans="1:11" x14ac:dyDescent="0.4">
      <c r="A421" t="s">
        <v>9</v>
      </c>
      <c r="B421" t="s">
        <v>10</v>
      </c>
      <c r="C421" t="s">
        <v>11</v>
      </c>
      <c r="D421" t="s">
        <v>12</v>
      </c>
      <c r="E421" t="s">
        <v>270</v>
      </c>
      <c r="F421" t="s">
        <v>271</v>
      </c>
      <c r="G421" t="s">
        <v>16</v>
      </c>
      <c r="H421" t="s">
        <v>17</v>
      </c>
      <c r="I421" s="1">
        <v>88</v>
      </c>
      <c r="J421" s="1">
        <v>38</v>
      </c>
      <c r="K421" s="1">
        <f t="shared" si="6"/>
        <v>126</v>
      </c>
    </row>
    <row r="422" spans="1:11" x14ac:dyDescent="0.4">
      <c r="A422" t="s">
        <v>9</v>
      </c>
      <c r="B422" t="s">
        <v>10</v>
      </c>
      <c r="C422" t="s">
        <v>11</v>
      </c>
      <c r="D422" t="s">
        <v>12</v>
      </c>
      <c r="E422" t="s">
        <v>270</v>
      </c>
      <c r="F422" t="s">
        <v>271</v>
      </c>
      <c r="G422" t="s">
        <v>16</v>
      </c>
      <c r="H422" t="s">
        <v>15</v>
      </c>
      <c r="I422" s="1">
        <v>53</v>
      </c>
      <c r="J422" s="1">
        <v>16</v>
      </c>
      <c r="K422" s="1">
        <f t="shared" si="6"/>
        <v>69</v>
      </c>
    </row>
    <row r="423" spans="1:11" x14ac:dyDescent="0.4">
      <c r="A423" t="s">
        <v>9</v>
      </c>
      <c r="B423" t="s">
        <v>10</v>
      </c>
      <c r="C423" t="s">
        <v>11</v>
      </c>
      <c r="D423" t="s">
        <v>12</v>
      </c>
      <c r="E423" t="s">
        <v>270</v>
      </c>
      <c r="F423" t="s">
        <v>271</v>
      </c>
      <c r="G423" t="s">
        <v>16</v>
      </c>
      <c r="H423" t="s">
        <v>38</v>
      </c>
      <c r="I423" s="1">
        <v>153</v>
      </c>
      <c r="J423" s="1">
        <v>12</v>
      </c>
      <c r="K423" s="1">
        <f t="shared" si="6"/>
        <v>165</v>
      </c>
    </row>
    <row r="424" spans="1:11" x14ac:dyDescent="0.4">
      <c r="A424" t="s">
        <v>9</v>
      </c>
      <c r="B424" t="s">
        <v>10</v>
      </c>
      <c r="C424" t="s">
        <v>11</v>
      </c>
      <c r="D424" t="s">
        <v>12</v>
      </c>
      <c r="E424" t="s">
        <v>270</v>
      </c>
      <c r="F424" t="s">
        <v>271</v>
      </c>
      <c r="G424" t="s">
        <v>16</v>
      </c>
      <c r="H424" t="s">
        <v>211</v>
      </c>
      <c r="I424" s="1">
        <v>1</v>
      </c>
      <c r="J424" s="1">
        <v>0</v>
      </c>
      <c r="K424" s="1">
        <f t="shared" si="6"/>
        <v>1</v>
      </c>
    </row>
    <row r="425" spans="1:11" x14ac:dyDescent="0.4">
      <c r="A425" t="s">
        <v>9</v>
      </c>
      <c r="B425" t="s">
        <v>10</v>
      </c>
      <c r="C425" t="s">
        <v>11</v>
      </c>
      <c r="D425" t="s">
        <v>12</v>
      </c>
      <c r="E425" t="s">
        <v>270</v>
      </c>
      <c r="F425" t="s">
        <v>271</v>
      </c>
      <c r="G425" t="s">
        <v>16</v>
      </c>
      <c r="H425" t="s">
        <v>39</v>
      </c>
      <c r="I425" s="1">
        <v>14</v>
      </c>
      <c r="J425" s="1">
        <v>1</v>
      </c>
      <c r="K425" s="1">
        <f t="shared" si="6"/>
        <v>15</v>
      </c>
    </row>
    <row r="426" spans="1:11" x14ac:dyDescent="0.4">
      <c r="A426" t="s">
        <v>9</v>
      </c>
      <c r="B426" t="s">
        <v>10</v>
      </c>
      <c r="C426" t="s">
        <v>11</v>
      </c>
      <c r="D426" t="s">
        <v>12</v>
      </c>
      <c r="E426" t="s">
        <v>270</v>
      </c>
      <c r="F426" t="s">
        <v>271</v>
      </c>
      <c r="G426" t="s">
        <v>16</v>
      </c>
      <c r="H426" t="s">
        <v>51</v>
      </c>
      <c r="I426" s="1">
        <v>8</v>
      </c>
      <c r="J426" s="1">
        <v>1</v>
      </c>
      <c r="K426" s="1">
        <f t="shared" si="6"/>
        <v>9</v>
      </c>
    </row>
    <row r="427" spans="1:11" x14ac:dyDescent="0.4">
      <c r="A427" t="s">
        <v>9</v>
      </c>
      <c r="B427" t="s">
        <v>10</v>
      </c>
      <c r="C427" t="s">
        <v>11</v>
      </c>
      <c r="D427" t="s">
        <v>12</v>
      </c>
      <c r="E427" t="s">
        <v>270</v>
      </c>
      <c r="F427" t="s">
        <v>271</v>
      </c>
      <c r="G427" t="s">
        <v>16</v>
      </c>
      <c r="H427" t="s">
        <v>28</v>
      </c>
      <c r="I427" s="1">
        <v>49</v>
      </c>
      <c r="J427" s="1">
        <v>1</v>
      </c>
      <c r="K427" s="1">
        <f t="shared" si="6"/>
        <v>50</v>
      </c>
    </row>
    <row r="428" spans="1:11" x14ac:dyDescent="0.4">
      <c r="A428" t="s">
        <v>9</v>
      </c>
      <c r="B428" t="s">
        <v>10</v>
      </c>
      <c r="C428" t="s">
        <v>11</v>
      </c>
      <c r="D428" t="s">
        <v>12</v>
      </c>
      <c r="E428" t="s">
        <v>270</v>
      </c>
      <c r="F428" t="s">
        <v>271</v>
      </c>
      <c r="G428" t="s">
        <v>16</v>
      </c>
      <c r="H428" t="s">
        <v>160</v>
      </c>
      <c r="I428" s="1">
        <v>10</v>
      </c>
      <c r="J428" s="1">
        <v>0</v>
      </c>
      <c r="K428" s="1">
        <f t="shared" si="6"/>
        <v>10</v>
      </c>
    </row>
    <row r="429" spans="1:11" x14ac:dyDescent="0.4">
      <c r="A429" t="s">
        <v>9</v>
      </c>
      <c r="B429" t="s">
        <v>10</v>
      </c>
      <c r="C429" t="s">
        <v>11</v>
      </c>
      <c r="D429" t="s">
        <v>12</v>
      </c>
      <c r="E429" t="s">
        <v>270</v>
      </c>
      <c r="F429" t="s">
        <v>271</v>
      </c>
      <c r="G429" t="s">
        <v>16</v>
      </c>
      <c r="H429" t="s">
        <v>31</v>
      </c>
      <c r="I429" s="1">
        <v>58</v>
      </c>
      <c r="J429" s="1">
        <v>7</v>
      </c>
      <c r="K429" s="1">
        <f t="shared" si="6"/>
        <v>65</v>
      </c>
    </row>
    <row r="430" spans="1:11" x14ac:dyDescent="0.4">
      <c r="A430" t="s">
        <v>9</v>
      </c>
      <c r="B430" t="s">
        <v>10</v>
      </c>
      <c r="C430" t="s">
        <v>11</v>
      </c>
      <c r="D430" t="s">
        <v>12</v>
      </c>
      <c r="E430" t="s">
        <v>270</v>
      </c>
      <c r="F430" t="s">
        <v>271</v>
      </c>
      <c r="G430" t="s">
        <v>16</v>
      </c>
      <c r="H430" t="s">
        <v>40</v>
      </c>
      <c r="I430" s="1">
        <v>6</v>
      </c>
      <c r="J430" s="1">
        <v>0</v>
      </c>
      <c r="K430" s="1">
        <f t="shared" si="6"/>
        <v>6</v>
      </c>
    </row>
    <row r="431" spans="1:11" x14ac:dyDescent="0.4">
      <c r="A431" t="s">
        <v>9</v>
      </c>
      <c r="B431" t="s">
        <v>10</v>
      </c>
      <c r="C431" t="s">
        <v>11</v>
      </c>
      <c r="D431" t="s">
        <v>12</v>
      </c>
      <c r="E431" t="s">
        <v>270</v>
      </c>
      <c r="F431" t="s">
        <v>271</v>
      </c>
      <c r="G431" t="s">
        <v>16</v>
      </c>
      <c r="H431" t="s">
        <v>210</v>
      </c>
      <c r="I431" s="1">
        <v>1</v>
      </c>
      <c r="J431" s="1">
        <v>0</v>
      </c>
      <c r="K431" s="1">
        <f t="shared" si="6"/>
        <v>1</v>
      </c>
    </row>
    <row r="432" spans="1:11" x14ac:dyDescent="0.4">
      <c r="A432" t="s">
        <v>9</v>
      </c>
      <c r="B432" t="s">
        <v>10</v>
      </c>
      <c r="C432" t="s">
        <v>11</v>
      </c>
      <c r="D432" t="s">
        <v>12</v>
      </c>
      <c r="E432" t="s">
        <v>270</v>
      </c>
      <c r="F432" t="s">
        <v>271</v>
      </c>
      <c r="G432" t="s">
        <v>16</v>
      </c>
      <c r="H432" t="s">
        <v>18</v>
      </c>
      <c r="I432" s="1">
        <v>19</v>
      </c>
      <c r="J432" s="1">
        <v>2</v>
      </c>
      <c r="K432" s="1">
        <f t="shared" si="6"/>
        <v>21</v>
      </c>
    </row>
    <row r="433" spans="1:11" hidden="1" x14ac:dyDescent="0.4">
      <c r="A433" t="s">
        <v>9</v>
      </c>
      <c r="B433" t="s">
        <v>10</v>
      </c>
      <c r="C433" t="s">
        <v>11</v>
      </c>
      <c r="D433" t="s">
        <v>12</v>
      </c>
      <c r="E433" t="s">
        <v>270</v>
      </c>
      <c r="F433" t="s">
        <v>271</v>
      </c>
      <c r="G433" t="s">
        <v>16</v>
      </c>
      <c r="H433" t="s">
        <v>8</v>
      </c>
      <c r="I433" s="1">
        <v>842</v>
      </c>
      <c r="J433" s="1">
        <v>113</v>
      </c>
      <c r="K433" s="1">
        <f t="shared" si="6"/>
        <v>955</v>
      </c>
    </row>
    <row r="434" spans="1:11" x14ac:dyDescent="0.4">
      <c r="A434" t="s">
        <v>9</v>
      </c>
      <c r="B434" t="s">
        <v>10</v>
      </c>
      <c r="C434" t="s">
        <v>11</v>
      </c>
      <c r="D434" t="s">
        <v>12</v>
      </c>
      <c r="E434" t="s">
        <v>270</v>
      </c>
      <c r="F434" t="s">
        <v>271</v>
      </c>
      <c r="G434" t="s">
        <v>16</v>
      </c>
      <c r="H434" t="s">
        <v>23</v>
      </c>
      <c r="I434" s="1">
        <v>311</v>
      </c>
      <c r="J434" s="1">
        <v>27</v>
      </c>
      <c r="K434" s="1">
        <f t="shared" si="6"/>
        <v>338</v>
      </c>
    </row>
    <row r="435" spans="1:11" x14ac:dyDescent="0.4">
      <c r="A435" t="s">
        <v>9</v>
      </c>
      <c r="B435" t="s">
        <v>10</v>
      </c>
      <c r="C435" t="s">
        <v>11</v>
      </c>
      <c r="D435" t="s">
        <v>12</v>
      </c>
      <c r="E435" t="s">
        <v>272</v>
      </c>
      <c r="F435" t="s">
        <v>273</v>
      </c>
      <c r="G435" t="s">
        <v>16</v>
      </c>
      <c r="H435" t="s">
        <v>37</v>
      </c>
      <c r="I435" s="1">
        <v>19</v>
      </c>
      <c r="J435" s="1">
        <v>3</v>
      </c>
      <c r="K435" s="1">
        <f t="shared" si="6"/>
        <v>22</v>
      </c>
    </row>
    <row r="436" spans="1:11" x14ac:dyDescent="0.4">
      <c r="A436" t="s">
        <v>9</v>
      </c>
      <c r="B436" t="s">
        <v>10</v>
      </c>
      <c r="C436" t="s">
        <v>11</v>
      </c>
      <c r="D436" t="s">
        <v>12</v>
      </c>
      <c r="E436" t="s">
        <v>272</v>
      </c>
      <c r="F436" t="s">
        <v>273</v>
      </c>
      <c r="G436" t="s">
        <v>16</v>
      </c>
      <c r="H436" t="s">
        <v>34</v>
      </c>
      <c r="I436" s="1">
        <v>42</v>
      </c>
      <c r="J436" s="1">
        <v>4</v>
      </c>
      <c r="K436" s="1">
        <f t="shared" si="6"/>
        <v>46</v>
      </c>
    </row>
    <row r="437" spans="1:11" x14ac:dyDescent="0.4">
      <c r="A437" t="s">
        <v>9</v>
      </c>
      <c r="B437" t="s">
        <v>10</v>
      </c>
      <c r="C437" t="s">
        <v>11</v>
      </c>
      <c r="D437" t="s">
        <v>12</v>
      </c>
      <c r="E437" t="s">
        <v>272</v>
      </c>
      <c r="F437" t="s">
        <v>273</v>
      </c>
      <c r="G437" t="s">
        <v>16</v>
      </c>
      <c r="H437" t="s">
        <v>17</v>
      </c>
      <c r="I437" s="1">
        <v>112</v>
      </c>
      <c r="J437" s="1">
        <v>48</v>
      </c>
      <c r="K437" s="1">
        <f t="shared" si="6"/>
        <v>160</v>
      </c>
    </row>
    <row r="438" spans="1:11" x14ac:dyDescent="0.4">
      <c r="A438" t="s">
        <v>9</v>
      </c>
      <c r="B438" t="s">
        <v>10</v>
      </c>
      <c r="C438" t="s">
        <v>11</v>
      </c>
      <c r="D438" t="s">
        <v>12</v>
      </c>
      <c r="E438" t="s">
        <v>272</v>
      </c>
      <c r="F438" t="s">
        <v>273</v>
      </c>
      <c r="G438" t="s">
        <v>16</v>
      </c>
      <c r="H438" t="s">
        <v>15</v>
      </c>
      <c r="I438" s="1">
        <v>89</v>
      </c>
      <c r="J438" s="1">
        <v>38</v>
      </c>
      <c r="K438" s="1">
        <f t="shared" si="6"/>
        <v>127</v>
      </c>
    </row>
    <row r="439" spans="1:11" x14ac:dyDescent="0.4">
      <c r="A439" t="s">
        <v>9</v>
      </c>
      <c r="B439" t="s">
        <v>10</v>
      </c>
      <c r="C439" t="s">
        <v>11</v>
      </c>
      <c r="D439" t="s">
        <v>12</v>
      </c>
      <c r="E439" t="s">
        <v>272</v>
      </c>
      <c r="F439" t="s">
        <v>273</v>
      </c>
      <c r="G439" t="s">
        <v>16</v>
      </c>
      <c r="H439" t="s">
        <v>38</v>
      </c>
      <c r="I439" s="1">
        <v>139</v>
      </c>
      <c r="J439" s="1">
        <v>14</v>
      </c>
      <c r="K439" s="1">
        <f t="shared" si="6"/>
        <v>153</v>
      </c>
    </row>
    <row r="440" spans="1:11" x14ac:dyDescent="0.4">
      <c r="A440" t="s">
        <v>9</v>
      </c>
      <c r="B440" t="s">
        <v>10</v>
      </c>
      <c r="C440" t="s">
        <v>11</v>
      </c>
      <c r="D440" t="s">
        <v>12</v>
      </c>
      <c r="E440" t="s">
        <v>272</v>
      </c>
      <c r="F440" t="s">
        <v>273</v>
      </c>
      <c r="G440" t="s">
        <v>16</v>
      </c>
      <c r="H440" t="s">
        <v>211</v>
      </c>
      <c r="I440" s="1">
        <v>1</v>
      </c>
      <c r="J440" s="1">
        <v>0</v>
      </c>
      <c r="K440" s="1">
        <f t="shared" si="6"/>
        <v>1</v>
      </c>
    </row>
    <row r="441" spans="1:11" x14ac:dyDescent="0.4">
      <c r="A441" t="s">
        <v>9</v>
      </c>
      <c r="B441" t="s">
        <v>10</v>
      </c>
      <c r="C441" t="s">
        <v>11</v>
      </c>
      <c r="D441" t="s">
        <v>12</v>
      </c>
      <c r="E441" t="s">
        <v>272</v>
      </c>
      <c r="F441" t="s">
        <v>273</v>
      </c>
      <c r="G441" t="s">
        <v>16</v>
      </c>
      <c r="H441" t="s">
        <v>39</v>
      </c>
      <c r="I441" s="1">
        <v>8</v>
      </c>
      <c r="J441" s="1">
        <v>0</v>
      </c>
      <c r="K441" s="1">
        <f t="shared" si="6"/>
        <v>8</v>
      </c>
    </row>
    <row r="442" spans="1:11" x14ac:dyDescent="0.4">
      <c r="A442" t="s">
        <v>9</v>
      </c>
      <c r="B442" t="s">
        <v>10</v>
      </c>
      <c r="C442" t="s">
        <v>11</v>
      </c>
      <c r="D442" t="s">
        <v>12</v>
      </c>
      <c r="E442" t="s">
        <v>272</v>
      </c>
      <c r="F442" t="s">
        <v>273</v>
      </c>
      <c r="G442" t="s">
        <v>16</v>
      </c>
      <c r="H442" t="s">
        <v>51</v>
      </c>
      <c r="I442" s="1">
        <v>17</v>
      </c>
      <c r="J442" s="1">
        <v>1</v>
      </c>
      <c r="K442" s="1">
        <f t="shared" si="6"/>
        <v>18</v>
      </c>
    </row>
    <row r="443" spans="1:11" x14ac:dyDescent="0.4">
      <c r="A443" t="s">
        <v>9</v>
      </c>
      <c r="B443" t="s">
        <v>10</v>
      </c>
      <c r="C443" t="s">
        <v>11</v>
      </c>
      <c r="D443" t="s">
        <v>12</v>
      </c>
      <c r="E443" t="s">
        <v>272</v>
      </c>
      <c r="F443" t="s">
        <v>273</v>
      </c>
      <c r="G443" t="s">
        <v>16</v>
      </c>
      <c r="H443" t="s">
        <v>28</v>
      </c>
      <c r="I443" s="1">
        <v>6</v>
      </c>
      <c r="J443" s="1">
        <v>1</v>
      </c>
      <c r="K443" s="1">
        <f t="shared" si="6"/>
        <v>7</v>
      </c>
    </row>
    <row r="444" spans="1:11" x14ac:dyDescent="0.4">
      <c r="A444" t="s">
        <v>9</v>
      </c>
      <c r="B444" t="s">
        <v>10</v>
      </c>
      <c r="C444" t="s">
        <v>11</v>
      </c>
      <c r="D444" t="s">
        <v>12</v>
      </c>
      <c r="E444" t="s">
        <v>272</v>
      </c>
      <c r="F444" t="s">
        <v>273</v>
      </c>
      <c r="G444" t="s">
        <v>16</v>
      </c>
      <c r="H444" t="s">
        <v>160</v>
      </c>
      <c r="I444" s="1">
        <v>26</v>
      </c>
      <c r="J444" s="1">
        <v>1</v>
      </c>
      <c r="K444" s="1">
        <f t="shared" si="6"/>
        <v>27</v>
      </c>
    </row>
    <row r="445" spans="1:11" x14ac:dyDescent="0.4">
      <c r="A445" t="s">
        <v>9</v>
      </c>
      <c r="B445" t="s">
        <v>10</v>
      </c>
      <c r="C445" t="s">
        <v>11</v>
      </c>
      <c r="D445" t="s">
        <v>12</v>
      </c>
      <c r="E445" t="s">
        <v>272</v>
      </c>
      <c r="F445" t="s">
        <v>273</v>
      </c>
      <c r="G445" t="s">
        <v>16</v>
      </c>
      <c r="H445" t="s">
        <v>31</v>
      </c>
      <c r="I445" s="1">
        <v>57</v>
      </c>
      <c r="J445" s="1">
        <v>4</v>
      </c>
      <c r="K445" s="1">
        <f t="shared" si="6"/>
        <v>61</v>
      </c>
    </row>
    <row r="446" spans="1:11" x14ac:dyDescent="0.4">
      <c r="A446" t="s">
        <v>9</v>
      </c>
      <c r="B446" t="s">
        <v>10</v>
      </c>
      <c r="C446" t="s">
        <v>11</v>
      </c>
      <c r="D446" t="s">
        <v>12</v>
      </c>
      <c r="E446" t="s">
        <v>272</v>
      </c>
      <c r="F446" t="s">
        <v>273</v>
      </c>
      <c r="G446" t="s">
        <v>16</v>
      </c>
      <c r="H446" t="s">
        <v>40</v>
      </c>
      <c r="I446" s="1">
        <v>6</v>
      </c>
      <c r="J446" s="1">
        <v>0</v>
      </c>
      <c r="K446" s="1">
        <f t="shared" si="6"/>
        <v>6</v>
      </c>
    </row>
    <row r="447" spans="1:11" x14ac:dyDescent="0.4">
      <c r="A447" t="s">
        <v>9</v>
      </c>
      <c r="B447" t="s">
        <v>10</v>
      </c>
      <c r="C447" t="s">
        <v>11</v>
      </c>
      <c r="D447" t="s">
        <v>12</v>
      </c>
      <c r="E447" t="s">
        <v>272</v>
      </c>
      <c r="F447" t="s">
        <v>273</v>
      </c>
      <c r="G447" t="s">
        <v>16</v>
      </c>
      <c r="H447" t="s">
        <v>18</v>
      </c>
      <c r="I447" s="1">
        <v>46</v>
      </c>
      <c r="J447" s="1">
        <v>4</v>
      </c>
      <c r="K447" s="1">
        <f t="shared" si="6"/>
        <v>50</v>
      </c>
    </row>
    <row r="448" spans="1:11" hidden="1" x14ac:dyDescent="0.4">
      <c r="A448" t="s">
        <v>9</v>
      </c>
      <c r="B448" t="s">
        <v>10</v>
      </c>
      <c r="C448" t="s">
        <v>11</v>
      </c>
      <c r="D448" t="s">
        <v>12</v>
      </c>
      <c r="E448" t="s">
        <v>272</v>
      </c>
      <c r="F448" t="s">
        <v>273</v>
      </c>
      <c r="G448" t="s">
        <v>16</v>
      </c>
      <c r="H448" t="s">
        <v>8</v>
      </c>
      <c r="I448" s="1">
        <v>687</v>
      </c>
      <c r="J448" s="1">
        <v>124</v>
      </c>
      <c r="K448" s="1">
        <f t="shared" si="6"/>
        <v>811</v>
      </c>
    </row>
    <row r="449" spans="1:11" x14ac:dyDescent="0.4">
      <c r="A449" t="s">
        <v>9</v>
      </c>
      <c r="B449" t="s">
        <v>10</v>
      </c>
      <c r="C449" t="s">
        <v>11</v>
      </c>
      <c r="D449" t="s">
        <v>12</v>
      </c>
      <c r="E449" t="s">
        <v>272</v>
      </c>
      <c r="F449" t="s">
        <v>273</v>
      </c>
      <c r="G449" t="s">
        <v>16</v>
      </c>
      <c r="H449" t="s">
        <v>23</v>
      </c>
      <c r="I449" s="1">
        <v>119</v>
      </c>
      <c r="J449" s="1">
        <v>6</v>
      </c>
      <c r="K449" s="1">
        <f t="shared" si="6"/>
        <v>125</v>
      </c>
    </row>
    <row r="450" spans="1:11" x14ac:dyDescent="0.4">
      <c r="A450" t="s">
        <v>9</v>
      </c>
      <c r="B450" t="s">
        <v>10</v>
      </c>
      <c r="C450" t="s">
        <v>11</v>
      </c>
      <c r="D450" t="s">
        <v>12</v>
      </c>
      <c r="E450" t="s">
        <v>274</v>
      </c>
      <c r="F450" t="s">
        <v>275</v>
      </c>
      <c r="G450" t="s">
        <v>16</v>
      </c>
      <c r="H450" t="s">
        <v>37</v>
      </c>
      <c r="I450" s="1">
        <v>4</v>
      </c>
      <c r="J450" s="1">
        <v>0</v>
      </c>
      <c r="K450" s="1">
        <f t="shared" si="6"/>
        <v>4</v>
      </c>
    </row>
    <row r="451" spans="1:11" x14ac:dyDescent="0.4">
      <c r="A451" t="s">
        <v>9</v>
      </c>
      <c r="B451" t="s">
        <v>10</v>
      </c>
      <c r="C451" t="s">
        <v>11</v>
      </c>
      <c r="D451" t="s">
        <v>12</v>
      </c>
      <c r="E451" t="s">
        <v>274</v>
      </c>
      <c r="F451" t="s">
        <v>275</v>
      </c>
      <c r="G451" t="s">
        <v>16</v>
      </c>
      <c r="H451" t="s">
        <v>34</v>
      </c>
      <c r="I451" s="1">
        <v>23</v>
      </c>
      <c r="J451" s="1">
        <v>3</v>
      </c>
      <c r="K451" s="1">
        <f t="shared" ref="K451:K514" si="7">SUM(I451,J451)</f>
        <v>26</v>
      </c>
    </row>
    <row r="452" spans="1:11" x14ac:dyDescent="0.4">
      <c r="A452" t="s">
        <v>9</v>
      </c>
      <c r="B452" t="s">
        <v>10</v>
      </c>
      <c r="C452" t="s">
        <v>11</v>
      </c>
      <c r="D452" t="s">
        <v>12</v>
      </c>
      <c r="E452" t="s">
        <v>274</v>
      </c>
      <c r="F452" t="s">
        <v>275</v>
      </c>
      <c r="G452" t="s">
        <v>16</v>
      </c>
      <c r="H452" t="s">
        <v>17</v>
      </c>
      <c r="I452" s="1">
        <v>8</v>
      </c>
      <c r="J452" s="1">
        <v>1</v>
      </c>
      <c r="K452" s="1">
        <f t="shared" si="7"/>
        <v>9</v>
      </c>
    </row>
    <row r="453" spans="1:11" x14ac:dyDescent="0.4">
      <c r="A453" t="s">
        <v>9</v>
      </c>
      <c r="B453" t="s">
        <v>10</v>
      </c>
      <c r="C453" t="s">
        <v>11</v>
      </c>
      <c r="D453" t="s">
        <v>12</v>
      </c>
      <c r="E453" t="s">
        <v>274</v>
      </c>
      <c r="F453" t="s">
        <v>275</v>
      </c>
      <c r="G453" t="s">
        <v>16</v>
      </c>
      <c r="H453" t="s">
        <v>15</v>
      </c>
      <c r="I453" s="1">
        <v>3</v>
      </c>
      <c r="J453" s="1">
        <v>2</v>
      </c>
      <c r="K453" s="1">
        <f t="shared" si="7"/>
        <v>5</v>
      </c>
    </row>
    <row r="454" spans="1:11" x14ac:dyDescent="0.4">
      <c r="A454" t="s">
        <v>9</v>
      </c>
      <c r="B454" t="s">
        <v>10</v>
      </c>
      <c r="C454" t="s">
        <v>11</v>
      </c>
      <c r="D454" t="s">
        <v>12</v>
      </c>
      <c r="E454" t="s">
        <v>274</v>
      </c>
      <c r="F454" t="s">
        <v>275</v>
      </c>
      <c r="G454" t="s">
        <v>16</v>
      </c>
      <c r="H454" t="s">
        <v>38</v>
      </c>
      <c r="I454" s="1">
        <v>10</v>
      </c>
      <c r="J454" s="1">
        <v>3</v>
      </c>
      <c r="K454" s="1">
        <f t="shared" si="7"/>
        <v>13</v>
      </c>
    </row>
    <row r="455" spans="1:11" x14ac:dyDescent="0.4">
      <c r="A455" t="s">
        <v>9</v>
      </c>
      <c r="B455" t="s">
        <v>10</v>
      </c>
      <c r="C455" t="s">
        <v>11</v>
      </c>
      <c r="D455" t="s">
        <v>12</v>
      </c>
      <c r="E455" t="s">
        <v>274</v>
      </c>
      <c r="F455" t="s">
        <v>275</v>
      </c>
      <c r="G455" t="s">
        <v>16</v>
      </c>
      <c r="H455" t="s">
        <v>28</v>
      </c>
      <c r="I455" s="1">
        <v>2</v>
      </c>
      <c r="J455" s="1">
        <v>0</v>
      </c>
      <c r="K455" s="1">
        <f t="shared" si="7"/>
        <v>2</v>
      </c>
    </row>
    <row r="456" spans="1:11" x14ac:dyDescent="0.4">
      <c r="A456" t="s">
        <v>9</v>
      </c>
      <c r="B456" t="s">
        <v>10</v>
      </c>
      <c r="C456" t="s">
        <v>11</v>
      </c>
      <c r="D456" t="s">
        <v>12</v>
      </c>
      <c r="E456" t="s">
        <v>274</v>
      </c>
      <c r="F456" t="s">
        <v>275</v>
      </c>
      <c r="G456" t="s">
        <v>16</v>
      </c>
      <c r="H456" t="s">
        <v>160</v>
      </c>
      <c r="I456" s="1">
        <v>1</v>
      </c>
      <c r="J456" s="1">
        <v>0</v>
      </c>
      <c r="K456" s="1">
        <f t="shared" si="7"/>
        <v>1</v>
      </c>
    </row>
    <row r="457" spans="1:11" x14ac:dyDescent="0.4">
      <c r="A457" t="s">
        <v>9</v>
      </c>
      <c r="B457" t="s">
        <v>10</v>
      </c>
      <c r="C457" t="s">
        <v>11</v>
      </c>
      <c r="D457" t="s">
        <v>12</v>
      </c>
      <c r="E457" t="s">
        <v>274</v>
      </c>
      <c r="F457" t="s">
        <v>275</v>
      </c>
      <c r="G457" t="s">
        <v>16</v>
      </c>
      <c r="H457" t="s">
        <v>31</v>
      </c>
      <c r="I457" s="1">
        <v>9</v>
      </c>
      <c r="J457" s="1">
        <v>0</v>
      </c>
      <c r="K457" s="1">
        <f t="shared" si="7"/>
        <v>9</v>
      </c>
    </row>
    <row r="458" spans="1:11" x14ac:dyDescent="0.4">
      <c r="A458" t="s">
        <v>9</v>
      </c>
      <c r="B458" t="s">
        <v>10</v>
      </c>
      <c r="C458" t="s">
        <v>11</v>
      </c>
      <c r="D458" t="s">
        <v>12</v>
      </c>
      <c r="E458" t="s">
        <v>274</v>
      </c>
      <c r="F458" t="s">
        <v>275</v>
      </c>
      <c r="G458" t="s">
        <v>16</v>
      </c>
      <c r="H458" t="s">
        <v>40</v>
      </c>
      <c r="I458" s="1">
        <v>1</v>
      </c>
      <c r="J458" s="1">
        <v>0</v>
      </c>
      <c r="K458" s="1">
        <f t="shared" si="7"/>
        <v>1</v>
      </c>
    </row>
    <row r="459" spans="1:11" x14ac:dyDescent="0.4">
      <c r="A459" t="s">
        <v>9</v>
      </c>
      <c r="B459" t="s">
        <v>10</v>
      </c>
      <c r="C459" t="s">
        <v>11</v>
      </c>
      <c r="D459" t="s">
        <v>12</v>
      </c>
      <c r="E459" t="s">
        <v>274</v>
      </c>
      <c r="F459" t="s">
        <v>275</v>
      </c>
      <c r="G459" t="s">
        <v>16</v>
      </c>
      <c r="H459" t="s">
        <v>18</v>
      </c>
      <c r="I459" s="1">
        <v>2</v>
      </c>
      <c r="J459" s="1">
        <v>1</v>
      </c>
      <c r="K459" s="1">
        <f t="shared" si="7"/>
        <v>3</v>
      </c>
    </row>
    <row r="460" spans="1:11" hidden="1" x14ac:dyDescent="0.4">
      <c r="A460" t="s">
        <v>9</v>
      </c>
      <c r="B460" t="s">
        <v>10</v>
      </c>
      <c r="C460" t="s">
        <v>11</v>
      </c>
      <c r="D460" t="s">
        <v>12</v>
      </c>
      <c r="E460" t="s">
        <v>274</v>
      </c>
      <c r="F460" t="s">
        <v>275</v>
      </c>
      <c r="G460" t="s">
        <v>16</v>
      </c>
      <c r="H460" t="s">
        <v>8</v>
      </c>
      <c r="I460" s="1">
        <v>99</v>
      </c>
      <c r="J460" s="1">
        <v>18</v>
      </c>
      <c r="K460" s="1">
        <f t="shared" si="7"/>
        <v>117</v>
      </c>
    </row>
    <row r="461" spans="1:11" x14ac:dyDescent="0.4">
      <c r="A461" t="s">
        <v>9</v>
      </c>
      <c r="B461" t="s">
        <v>10</v>
      </c>
      <c r="C461" t="s">
        <v>11</v>
      </c>
      <c r="D461" t="s">
        <v>12</v>
      </c>
      <c r="E461" t="s">
        <v>274</v>
      </c>
      <c r="F461" t="s">
        <v>275</v>
      </c>
      <c r="G461" t="s">
        <v>16</v>
      </c>
      <c r="H461" t="s">
        <v>23</v>
      </c>
      <c r="I461" s="1">
        <v>36</v>
      </c>
      <c r="J461" s="1">
        <v>8</v>
      </c>
      <c r="K461" s="1">
        <f t="shared" si="7"/>
        <v>44</v>
      </c>
    </row>
    <row r="462" spans="1:11" x14ac:dyDescent="0.4">
      <c r="A462" t="s">
        <v>9</v>
      </c>
      <c r="B462" t="s">
        <v>10</v>
      </c>
      <c r="C462" t="s">
        <v>11</v>
      </c>
      <c r="D462" t="s">
        <v>12</v>
      </c>
      <c r="E462" t="s">
        <v>276</v>
      </c>
      <c r="F462" t="s">
        <v>277</v>
      </c>
      <c r="G462" t="s">
        <v>16</v>
      </c>
      <c r="H462" t="s">
        <v>37</v>
      </c>
      <c r="I462" s="1">
        <v>19</v>
      </c>
      <c r="J462" s="1">
        <v>5</v>
      </c>
      <c r="K462" s="1">
        <f t="shared" si="7"/>
        <v>24</v>
      </c>
    </row>
    <row r="463" spans="1:11" x14ac:dyDescent="0.4">
      <c r="A463" t="s">
        <v>9</v>
      </c>
      <c r="B463" t="s">
        <v>10</v>
      </c>
      <c r="C463" t="s">
        <v>11</v>
      </c>
      <c r="D463" t="s">
        <v>12</v>
      </c>
      <c r="E463" t="s">
        <v>276</v>
      </c>
      <c r="F463" t="s">
        <v>277</v>
      </c>
      <c r="G463" t="s">
        <v>16</v>
      </c>
      <c r="H463" t="s">
        <v>34</v>
      </c>
      <c r="I463" s="1">
        <v>24</v>
      </c>
      <c r="J463" s="1">
        <v>0</v>
      </c>
      <c r="K463" s="1">
        <f t="shared" si="7"/>
        <v>24</v>
      </c>
    </row>
    <row r="464" spans="1:11" x14ac:dyDescent="0.4">
      <c r="A464" t="s">
        <v>9</v>
      </c>
      <c r="B464" t="s">
        <v>10</v>
      </c>
      <c r="C464" t="s">
        <v>11</v>
      </c>
      <c r="D464" t="s">
        <v>12</v>
      </c>
      <c r="E464" t="s">
        <v>276</v>
      </c>
      <c r="F464" t="s">
        <v>277</v>
      </c>
      <c r="G464" t="s">
        <v>16</v>
      </c>
      <c r="H464" t="s">
        <v>17</v>
      </c>
      <c r="I464" s="1">
        <v>64</v>
      </c>
      <c r="J464" s="1">
        <v>15</v>
      </c>
      <c r="K464" s="1">
        <f t="shared" si="7"/>
        <v>79</v>
      </c>
    </row>
    <row r="465" spans="1:11" x14ac:dyDescent="0.4">
      <c r="A465" t="s">
        <v>9</v>
      </c>
      <c r="B465" t="s">
        <v>10</v>
      </c>
      <c r="C465" t="s">
        <v>11</v>
      </c>
      <c r="D465" t="s">
        <v>12</v>
      </c>
      <c r="E465" t="s">
        <v>276</v>
      </c>
      <c r="F465" t="s">
        <v>277</v>
      </c>
      <c r="G465" t="s">
        <v>16</v>
      </c>
      <c r="H465" t="s">
        <v>15</v>
      </c>
      <c r="I465" s="1">
        <v>51</v>
      </c>
      <c r="J465" s="1">
        <v>21</v>
      </c>
      <c r="K465" s="1">
        <f t="shared" si="7"/>
        <v>72</v>
      </c>
    </row>
    <row r="466" spans="1:11" x14ac:dyDescent="0.4">
      <c r="A466" t="s">
        <v>9</v>
      </c>
      <c r="B466" t="s">
        <v>10</v>
      </c>
      <c r="C466" t="s">
        <v>11</v>
      </c>
      <c r="D466" t="s">
        <v>12</v>
      </c>
      <c r="E466" t="s">
        <v>276</v>
      </c>
      <c r="F466" t="s">
        <v>277</v>
      </c>
      <c r="G466" t="s">
        <v>16</v>
      </c>
      <c r="H466" t="s">
        <v>38</v>
      </c>
      <c r="I466" s="1">
        <v>132</v>
      </c>
      <c r="J466" s="1">
        <v>10</v>
      </c>
      <c r="K466" s="1">
        <f t="shared" si="7"/>
        <v>142</v>
      </c>
    </row>
    <row r="467" spans="1:11" x14ac:dyDescent="0.4">
      <c r="A467" t="s">
        <v>9</v>
      </c>
      <c r="B467" t="s">
        <v>10</v>
      </c>
      <c r="C467" t="s">
        <v>11</v>
      </c>
      <c r="D467" t="s">
        <v>12</v>
      </c>
      <c r="E467" t="s">
        <v>276</v>
      </c>
      <c r="F467" t="s">
        <v>277</v>
      </c>
      <c r="G467" t="s">
        <v>16</v>
      </c>
      <c r="H467" t="s">
        <v>39</v>
      </c>
      <c r="I467" s="1">
        <v>14</v>
      </c>
      <c r="J467" s="1">
        <v>2</v>
      </c>
      <c r="K467" s="1">
        <f t="shared" si="7"/>
        <v>16</v>
      </c>
    </row>
    <row r="468" spans="1:11" x14ac:dyDescent="0.4">
      <c r="A468" t="s">
        <v>9</v>
      </c>
      <c r="B468" t="s">
        <v>10</v>
      </c>
      <c r="C468" t="s">
        <v>11</v>
      </c>
      <c r="D468" t="s">
        <v>12</v>
      </c>
      <c r="E468" t="s">
        <v>276</v>
      </c>
      <c r="F468" t="s">
        <v>277</v>
      </c>
      <c r="G468" t="s">
        <v>16</v>
      </c>
      <c r="H468" t="s">
        <v>51</v>
      </c>
      <c r="I468" s="1">
        <v>8</v>
      </c>
      <c r="J468" s="1">
        <v>0</v>
      </c>
      <c r="K468" s="1">
        <f t="shared" si="7"/>
        <v>8</v>
      </c>
    </row>
    <row r="469" spans="1:11" x14ac:dyDescent="0.4">
      <c r="A469" t="s">
        <v>9</v>
      </c>
      <c r="B469" t="s">
        <v>10</v>
      </c>
      <c r="C469" t="s">
        <v>11</v>
      </c>
      <c r="D469" t="s">
        <v>12</v>
      </c>
      <c r="E469" t="s">
        <v>276</v>
      </c>
      <c r="F469" t="s">
        <v>277</v>
      </c>
      <c r="G469" t="s">
        <v>16</v>
      </c>
      <c r="H469" t="s">
        <v>28</v>
      </c>
      <c r="I469" s="1">
        <v>13</v>
      </c>
      <c r="J469" s="1">
        <v>0</v>
      </c>
      <c r="K469" s="1">
        <f t="shared" si="7"/>
        <v>13</v>
      </c>
    </row>
    <row r="470" spans="1:11" x14ac:dyDescent="0.4">
      <c r="A470" t="s">
        <v>9</v>
      </c>
      <c r="B470" t="s">
        <v>10</v>
      </c>
      <c r="C470" t="s">
        <v>11</v>
      </c>
      <c r="D470" t="s">
        <v>12</v>
      </c>
      <c r="E470" t="s">
        <v>276</v>
      </c>
      <c r="F470" t="s">
        <v>277</v>
      </c>
      <c r="G470" t="s">
        <v>16</v>
      </c>
      <c r="H470" t="s">
        <v>160</v>
      </c>
      <c r="I470" s="1">
        <v>11</v>
      </c>
      <c r="J470" s="1">
        <v>2</v>
      </c>
      <c r="K470" s="1">
        <f t="shared" si="7"/>
        <v>13</v>
      </c>
    </row>
    <row r="471" spans="1:11" x14ac:dyDescent="0.4">
      <c r="A471" t="s">
        <v>9</v>
      </c>
      <c r="B471" t="s">
        <v>10</v>
      </c>
      <c r="C471" t="s">
        <v>11</v>
      </c>
      <c r="D471" t="s">
        <v>12</v>
      </c>
      <c r="E471" t="s">
        <v>276</v>
      </c>
      <c r="F471" t="s">
        <v>277</v>
      </c>
      <c r="G471" t="s">
        <v>16</v>
      </c>
      <c r="H471" t="s">
        <v>31</v>
      </c>
      <c r="I471" s="1">
        <v>85</v>
      </c>
      <c r="J471" s="1">
        <v>5</v>
      </c>
      <c r="K471" s="1">
        <f t="shared" si="7"/>
        <v>90</v>
      </c>
    </row>
    <row r="472" spans="1:11" x14ac:dyDescent="0.4">
      <c r="A472" t="s">
        <v>9</v>
      </c>
      <c r="B472" t="s">
        <v>10</v>
      </c>
      <c r="C472" t="s">
        <v>11</v>
      </c>
      <c r="D472" t="s">
        <v>12</v>
      </c>
      <c r="E472" t="s">
        <v>276</v>
      </c>
      <c r="F472" t="s">
        <v>277</v>
      </c>
      <c r="G472" t="s">
        <v>16</v>
      </c>
      <c r="H472" t="s">
        <v>40</v>
      </c>
      <c r="I472" s="1">
        <v>1</v>
      </c>
      <c r="J472" s="1">
        <v>1</v>
      </c>
      <c r="K472" s="1">
        <f t="shared" si="7"/>
        <v>2</v>
      </c>
    </row>
    <row r="473" spans="1:11" x14ac:dyDescent="0.4">
      <c r="A473" t="s">
        <v>9</v>
      </c>
      <c r="B473" t="s">
        <v>10</v>
      </c>
      <c r="C473" t="s">
        <v>11</v>
      </c>
      <c r="D473" t="s">
        <v>12</v>
      </c>
      <c r="E473" t="s">
        <v>276</v>
      </c>
      <c r="F473" t="s">
        <v>277</v>
      </c>
      <c r="G473" t="s">
        <v>16</v>
      </c>
      <c r="H473" t="s">
        <v>18</v>
      </c>
      <c r="I473" s="1">
        <v>14</v>
      </c>
      <c r="J473" s="1">
        <v>2</v>
      </c>
      <c r="K473" s="1">
        <f t="shared" si="7"/>
        <v>16</v>
      </c>
    </row>
    <row r="474" spans="1:11" hidden="1" x14ac:dyDescent="0.4">
      <c r="A474" t="s">
        <v>9</v>
      </c>
      <c r="B474" t="s">
        <v>10</v>
      </c>
      <c r="C474" t="s">
        <v>11</v>
      </c>
      <c r="D474" t="s">
        <v>12</v>
      </c>
      <c r="E474" t="s">
        <v>276</v>
      </c>
      <c r="F474" t="s">
        <v>277</v>
      </c>
      <c r="G474" t="s">
        <v>16</v>
      </c>
      <c r="H474" t="s">
        <v>8</v>
      </c>
      <c r="I474" s="1">
        <v>750</v>
      </c>
      <c r="J474" s="1">
        <v>84</v>
      </c>
      <c r="K474" s="1">
        <f t="shared" si="7"/>
        <v>834</v>
      </c>
    </row>
    <row r="475" spans="1:11" x14ac:dyDescent="0.4">
      <c r="A475" t="s">
        <v>9</v>
      </c>
      <c r="B475" t="s">
        <v>10</v>
      </c>
      <c r="C475" t="s">
        <v>11</v>
      </c>
      <c r="D475" t="s">
        <v>12</v>
      </c>
      <c r="E475" t="s">
        <v>276</v>
      </c>
      <c r="F475" t="s">
        <v>277</v>
      </c>
      <c r="G475" t="s">
        <v>16</v>
      </c>
      <c r="H475" t="s">
        <v>23</v>
      </c>
      <c r="I475" s="1">
        <v>314</v>
      </c>
      <c r="J475" s="1">
        <v>21</v>
      </c>
      <c r="K475" s="1">
        <f t="shared" si="7"/>
        <v>335</v>
      </c>
    </row>
    <row r="476" spans="1:11" x14ac:dyDescent="0.4">
      <c r="A476" t="s">
        <v>9</v>
      </c>
      <c r="B476" t="s">
        <v>10</v>
      </c>
      <c r="C476" t="s">
        <v>11</v>
      </c>
      <c r="D476" t="s">
        <v>12</v>
      </c>
      <c r="E476" t="s">
        <v>278</v>
      </c>
      <c r="F476" t="s">
        <v>279</v>
      </c>
      <c r="G476" t="s">
        <v>16</v>
      </c>
      <c r="H476" t="s">
        <v>17</v>
      </c>
      <c r="I476" s="1">
        <v>1</v>
      </c>
      <c r="J476" s="1">
        <v>0</v>
      </c>
      <c r="K476" s="1">
        <f t="shared" si="7"/>
        <v>1</v>
      </c>
    </row>
    <row r="477" spans="1:11" hidden="1" x14ac:dyDescent="0.4">
      <c r="A477" t="s">
        <v>9</v>
      </c>
      <c r="B477" t="s">
        <v>10</v>
      </c>
      <c r="C477" t="s">
        <v>11</v>
      </c>
      <c r="D477" t="s">
        <v>12</v>
      </c>
      <c r="E477" t="s">
        <v>278</v>
      </c>
      <c r="F477" t="s">
        <v>279</v>
      </c>
      <c r="G477" t="s">
        <v>16</v>
      </c>
      <c r="H477" t="s">
        <v>8</v>
      </c>
      <c r="I477" s="1">
        <v>1</v>
      </c>
      <c r="J477" s="1">
        <v>0</v>
      </c>
      <c r="K477" s="1">
        <f t="shared" si="7"/>
        <v>1</v>
      </c>
    </row>
    <row r="478" spans="1:11" x14ac:dyDescent="0.4">
      <c r="A478" t="s">
        <v>9</v>
      </c>
      <c r="B478" t="s">
        <v>10</v>
      </c>
      <c r="C478" t="s">
        <v>11</v>
      </c>
      <c r="D478" t="s">
        <v>12</v>
      </c>
      <c r="E478" t="s">
        <v>280</v>
      </c>
      <c r="F478" t="s">
        <v>281</v>
      </c>
      <c r="G478" t="s">
        <v>16</v>
      </c>
      <c r="H478" t="s">
        <v>34</v>
      </c>
      <c r="I478" s="1">
        <v>1</v>
      </c>
      <c r="J478" s="1">
        <v>0</v>
      </c>
      <c r="K478" s="1">
        <f t="shared" si="7"/>
        <v>1</v>
      </c>
    </row>
    <row r="479" spans="1:11" hidden="1" x14ac:dyDescent="0.4">
      <c r="A479" t="s">
        <v>9</v>
      </c>
      <c r="B479" t="s">
        <v>10</v>
      </c>
      <c r="C479" t="s">
        <v>11</v>
      </c>
      <c r="D479" t="s">
        <v>12</v>
      </c>
      <c r="E479" t="s">
        <v>280</v>
      </c>
      <c r="F479" t="s">
        <v>281</v>
      </c>
      <c r="G479" t="s">
        <v>16</v>
      </c>
      <c r="H479" t="s">
        <v>8</v>
      </c>
      <c r="I479" s="1">
        <v>1</v>
      </c>
      <c r="J479" s="1">
        <v>0</v>
      </c>
      <c r="K479" s="1">
        <f t="shared" si="7"/>
        <v>1</v>
      </c>
    </row>
    <row r="480" spans="1:11" x14ac:dyDescent="0.4">
      <c r="A480" t="s">
        <v>9</v>
      </c>
      <c r="B480" t="s">
        <v>10</v>
      </c>
      <c r="C480" t="s">
        <v>11</v>
      </c>
      <c r="D480" t="s">
        <v>12</v>
      </c>
      <c r="E480" t="s">
        <v>282</v>
      </c>
      <c r="F480" t="s">
        <v>283</v>
      </c>
      <c r="G480" t="s">
        <v>16</v>
      </c>
      <c r="H480" t="s">
        <v>38</v>
      </c>
      <c r="I480" s="1">
        <v>1</v>
      </c>
      <c r="J480" s="1">
        <v>0</v>
      </c>
      <c r="K480" s="1">
        <f t="shared" si="7"/>
        <v>1</v>
      </c>
    </row>
    <row r="481" spans="1:11" hidden="1" x14ac:dyDescent="0.4">
      <c r="A481" t="s">
        <v>9</v>
      </c>
      <c r="B481" t="s">
        <v>10</v>
      </c>
      <c r="C481" t="s">
        <v>11</v>
      </c>
      <c r="D481" t="s">
        <v>12</v>
      </c>
      <c r="E481" t="s">
        <v>282</v>
      </c>
      <c r="F481" t="s">
        <v>283</v>
      </c>
      <c r="G481" t="s">
        <v>16</v>
      </c>
      <c r="H481" t="s">
        <v>8</v>
      </c>
      <c r="I481" s="1">
        <v>1</v>
      </c>
      <c r="J481" s="1">
        <v>0</v>
      </c>
      <c r="K481" s="1">
        <f t="shared" si="7"/>
        <v>1</v>
      </c>
    </row>
    <row r="482" spans="1:11" hidden="1" x14ac:dyDescent="0.4">
      <c r="A482" t="s">
        <v>9</v>
      </c>
      <c r="B482" t="s">
        <v>10</v>
      </c>
      <c r="C482" t="s">
        <v>11</v>
      </c>
      <c r="D482" t="s">
        <v>12</v>
      </c>
      <c r="E482" t="s">
        <v>284</v>
      </c>
      <c r="F482" t="s">
        <v>285</v>
      </c>
      <c r="G482" t="s">
        <v>16</v>
      </c>
      <c r="H482" t="s">
        <v>8</v>
      </c>
      <c r="I482" s="1">
        <v>1</v>
      </c>
      <c r="J482" s="1">
        <v>0</v>
      </c>
      <c r="K482" s="1">
        <f t="shared" si="7"/>
        <v>1</v>
      </c>
    </row>
    <row r="483" spans="1:11" x14ac:dyDescent="0.4">
      <c r="A483" t="s">
        <v>9</v>
      </c>
      <c r="B483" t="s">
        <v>10</v>
      </c>
      <c r="C483" t="s">
        <v>11</v>
      </c>
      <c r="D483" t="s">
        <v>12</v>
      </c>
      <c r="E483" t="s">
        <v>284</v>
      </c>
      <c r="F483" t="s">
        <v>285</v>
      </c>
      <c r="G483" t="s">
        <v>16</v>
      </c>
      <c r="H483" t="s">
        <v>23</v>
      </c>
      <c r="I483" s="1">
        <v>1</v>
      </c>
      <c r="J483" s="1">
        <v>0</v>
      </c>
      <c r="K483" s="1">
        <f t="shared" si="7"/>
        <v>1</v>
      </c>
    </row>
    <row r="484" spans="1:11" x14ac:dyDescent="0.4">
      <c r="A484" t="s">
        <v>9</v>
      </c>
      <c r="B484" t="s">
        <v>10</v>
      </c>
      <c r="C484" t="s">
        <v>11</v>
      </c>
      <c r="D484" t="s">
        <v>12</v>
      </c>
      <c r="E484" t="s">
        <v>286</v>
      </c>
      <c r="F484" t="s">
        <v>287</v>
      </c>
      <c r="G484" t="s">
        <v>16</v>
      </c>
      <c r="H484" t="s">
        <v>15</v>
      </c>
      <c r="I484" s="1">
        <v>0</v>
      </c>
      <c r="J484" s="1">
        <v>1</v>
      </c>
      <c r="K484" s="1">
        <f t="shared" si="7"/>
        <v>1</v>
      </c>
    </row>
    <row r="485" spans="1:11" hidden="1" x14ac:dyDescent="0.4">
      <c r="A485" t="s">
        <v>9</v>
      </c>
      <c r="B485" t="s">
        <v>10</v>
      </c>
      <c r="C485" t="s">
        <v>11</v>
      </c>
      <c r="D485" t="s">
        <v>12</v>
      </c>
      <c r="E485" t="s">
        <v>286</v>
      </c>
      <c r="F485" t="s">
        <v>287</v>
      </c>
      <c r="G485" t="s">
        <v>16</v>
      </c>
      <c r="H485" t="s">
        <v>8</v>
      </c>
      <c r="I485" s="1">
        <v>0</v>
      </c>
      <c r="J485" s="1">
        <v>1</v>
      </c>
      <c r="K485" s="1">
        <f t="shared" si="7"/>
        <v>1</v>
      </c>
    </row>
    <row r="486" spans="1:11" x14ac:dyDescent="0.4">
      <c r="A486" t="s">
        <v>9</v>
      </c>
      <c r="B486" t="s">
        <v>10</v>
      </c>
      <c r="C486" t="s">
        <v>11</v>
      </c>
      <c r="D486" t="s">
        <v>12</v>
      </c>
      <c r="E486" t="s">
        <v>288</v>
      </c>
      <c r="F486" t="s">
        <v>289</v>
      </c>
      <c r="G486" t="s">
        <v>16</v>
      </c>
      <c r="H486" t="s">
        <v>34</v>
      </c>
      <c r="I486" s="1">
        <v>1</v>
      </c>
      <c r="J486" s="1">
        <v>0</v>
      </c>
      <c r="K486" s="1">
        <f t="shared" si="7"/>
        <v>1</v>
      </c>
    </row>
    <row r="487" spans="1:11" hidden="1" x14ac:dyDescent="0.4">
      <c r="A487" t="s">
        <v>9</v>
      </c>
      <c r="B487" t="s">
        <v>10</v>
      </c>
      <c r="C487" t="s">
        <v>11</v>
      </c>
      <c r="D487" t="s">
        <v>12</v>
      </c>
      <c r="E487" t="s">
        <v>288</v>
      </c>
      <c r="F487" t="s">
        <v>289</v>
      </c>
      <c r="G487" t="s">
        <v>16</v>
      </c>
      <c r="H487" t="s">
        <v>8</v>
      </c>
      <c r="I487" s="1">
        <v>1</v>
      </c>
      <c r="J487" s="1">
        <v>0</v>
      </c>
      <c r="K487" s="1">
        <f t="shared" si="7"/>
        <v>1</v>
      </c>
    </row>
    <row r="488" spans="1:11" x14ac:dyDescent="0.4">
      <c r="A488" t="s">
        <v>9</v>
      </c>
      <c r="B488" t="s">
        <v>10</v>
      </c>
      <c r="C488" t="s">
        <v>11</v>
      </c>
      <c r="D488" t="s">
        <v>12</v>
      </c>
      <c r="E488" t="s">
        <v>290</v>
      </c>
      <c r="F488" t="s">
        <v>291</v>
      </c>
      <c r="G488" t="s">
        <v>16</v>
      </c>
      <c r="H488" t="s">
        <v>15</v>
      </c>
      <c r="I488" s="1">
        <v>0</v>
      </c>
      <c r="J488" s="1">
        <v>1</v>
      </c>
      <c r="K488" s="1">
        <f t="shared" si="7"/>
        <v>1</v>
      </c>
    </row>
    <row r="489" spans="1:11" hidden="1" x14ac:dyDescent="0.4">
      <c r="A489" t="s">
        <v>9</v>
      </c>
      <c r="B489" t="s">
        <v>10</v>
      </c>
      <c r="C489" t="s">
        <v>11</v>
      </c>
      <c r="D489" t="s">
        <v>12</v>
      </c>
      <c r="E489" t="s">
        <v>290</v>
      </c>
      <c r="F489" t="s">
        <v>291</v>
      </c>
      <c r="G489" t="s">
        <v>16</v>
      </c>
      <c r="H489" t="s">
        <v>8</v>
      </c>
      <c r="I489" s="1">
        <v>1</v>
      </c>
      <c r="J489" s="1">
        <v>1</v>
      </c>
      <c r="K489" s="1">
        <f t="shared" si="7"/>
        <v>2</v>
      </c>
    </row>
    <row r="490" spans="1:11" x14ac:dyDescent="0.4">
      <c r="A490" t="s">
        <v>9</v>
      </c>
      <c r="B490" t="s">
        <v>10</v>
      </c>
      <c r="C490" t="s">
        <v>11</v>
      </c>
      <c r="D490" t="s">
        <v>12</v>
      </c>
      <c r="E490" t="s">
        <v>290</v>
      </c>
      <c r="F490" t="s">
        <v>291</v>
      </c>
      <c r="G490" t="s">
        <v>16</v>
      </c>
      <c r="H490" t="s">
        <v>23</v>
      </c>
      <c r="I490" s="1">
        <v>1</v>
      </c>
      <c r="J490" s="1">
        <v>0</v>
      </c>
      <c r="K490" s="1">
        <f t="shared" si="7"/>
        <v>1</v>
      </c>
    </row>
    <row r="491" spans="1:11" x14ac:dyDescent="0.4">
      <c r="A491" t="s">
        <v>9</v>
      </c>
      <c r="B491" t="s">
        <v>10</v>
      </c>
      <c r="C491" t="s">
        <v>11</v>
      </c>
      <c r="D491" t="s">
        <v>12</v>
      </c>
      <c r="E491" t="s">
        <v>292</v>
      </c>
      <c r="F491" t="s">
        <v>293</v>
      </c>
      <c r="G491" t="s">
        <v>16</v>
      </c>
      <c r="H491" t="s">
        <v>37</v>
      </c>
      <c r="I491" s="1">
        <v>10</v>
      </c>
      <c r="J491" s="1">
        <v>3</v>
      </c>
      <c r="K491" s="1">
        <f t="shared" si="7"/>
        <v>13</v>
      </c>
    </row>
    <row r="492" spans="1:11" x14ac:dyDescent="0.4">
      <c r="A492" t="s">
        <v>9</v>
      </c>
      <c r="B492" t="s">
        <v>10</v>
      </c>
      <c r="C492" t="s">
        <v>11</v>
      </c>
      <c r="D492" t="s">
        <v>12</v>
      </c>
      <c r="E492" t="s">
        <v>292</v>
      </c>
      <c r="F492" t="s">
        <v>293</v>
      </c>
      <c r="G492" t="s">
        <v>16</v>
      </c>
      <c r="H492" t="s">
        <v>34</v>
      </c>
      <c r="I492" s="1">
        <v>14</v>
      </c>
      <c r="J492" s="1">
        <v>0</v>
      </c>
      <c r="K492" s="1">
        <f t="shared" si="7"/>
        <v>14</v>
      </c>
    </row>
    <row r="493" spans="1:11" x14ac:dyDescent="0.4">
      <c r="A493" t="s">
        <v>9</v>
      </c>
      <c r="B493" t="s">
        <v>10</v>
      </c>
      <c r="C493" t="s">
        <v>11</v>
      </c>
      <c r="D493" t="s">
        <v>12</v>
      </c>
      <c r="E493" t="s">
        <v>292</v>
      </c>
      <c r="F493" t="s">
        <v>293</v>
      </c>
      <c r="G493" t="s">
        <v>16</v>
      </c>
      <c r="H493" t="s">
        <v>17</v>
      </c>
      <c r="I493" s="1">
        <v>45</v>
      </c>
      <c r="J493" s="1">
        <v>19</v>
      </c>
      <c r="K493" s="1">
        <f t="shared" si="7"/>
        <v>64</v>
      </c>
    </row>
    <row r="494" spans="1:11" x14ac:dyDescent="0.4">
      <c r="A494" t="s">
        <v>9</v>
      </c>
      <c r="B494" t="s">
        <v>10</v>
      </c>
      <c r="C494" t="s">
        <v>11</v>
      </c>
      <c r="D494" t="s">
        <v>12</v>
      </c>
      <c r="E494" t="s">
        <v>292</v>
      </c>
      <c r="F494" t="s">
        <v>293</v>
      </c>
      <c r="G494" t="s">
        <v>16</v>
      </c>
      <c r="H494" t="s">
        <v>15</v>
      </c>
      <c r="I494" s="1">
        <v>9</v>
      </c>
      <c r="J494" s="1">
        <v>5</v>
      </c>
      <c r="K494" s="1">
        <f t="shared" si="7"/>
        <v>14</v>
      </c>
    </row>
    <row r="495" spans="1:11" x14ac:dyDescent="0.4">
      <c r="A495" t="s">
        <v>9</v>
      </c>
      <c r="B495" t="s">
        <v>10</v>
      </c>
      <c r="C495" t="s">
        <v>11</v>
      </c>
      <c r="D495" t="s">
        <v>12</v>
      </c>
      <c r="E495" t="s">
        <v>292</v>
      </c>
      <c r="F495" t="s">
        <v>293</v>
      </c>
      <c r="G495" t="s">
        <v>16</v>
      </c>
      <c r="H495" t="s">
        <v>38</v>
      </c>
      <c r="I495" s="1">
        <v>6</v>
      </c>
      <c r="J495" s="1">
        <v>0</v>
      </c>
      <c r="K495" s="1">
        <f t="shared" si="7"/>
        <v>6</v>
      </c>
    </row>
    <row r="496" spans="1:11" x14ac:dyDescent="0.4">
      <c r="A496" t="s">
        <v>9</v>
      </c>
      <c r="B496" t="s">
        <v>10</v>
      </c>
      <c r="C496" t="s">
        <v>11</v>
      </c>
      <c r="D496" t="s">
        <v>12</v>
      </c>
      <c r="E496" t="s">
        <v>292</v>
      </c>
      <c r="F496" t="s">
        <v>293</v>
      </c>
      <c r="G496" t="s">
        <v>16</v>
      </c>
      <c r="H496" t="s">
        <v>209</v>
      </c>
      <c r="I496" s="1">
        <v>1</v>
      </c>
      <c r="J496" s="1">
        <v>0</v>
      </c>
      <c r="K496" s="1">
        <f t="shared" si="7"/>
        <v>1</v>
      </c>
    </row>
    <row r="497" spans="1:11" x14ac:dyDescent="0.4">
      <c r="A497" t="s">
        <v>9</v>
      </c>
      <c r="B497" t="s">
        <v>10</v>
      </c>
      <c r="C497" t="s">
        <v>11</v>
      </c>
      <c r="D497" t="s">
        <v>12</v>
      </c>
      <c r="E497" t="s">
        <v>292</v>
      </c>
      <c r="F497" t="s">
        <v>293</v>
      </c>
      <c r="G497" t="s">
        <v>16</v>
      </c>
      <c r="H497" t="s">
        <v>39</v>
      </c>
      <c r="I497" s="1">
        <v>2</v>
      </c>
      <c r="J497" s="1">
        <v>0</v>
      </c>
      <c r="K497" s="1">
        <f t="shared" si="7"/>
        <v>2</v>
      </c>
    </row>
    <row r="498" spans="1:11" x14ac:dyDescent="0.4">
      <c r="A498" t="s">
        <v>9</v>
      </c>
      <c r="B498" t="s">
        <v>10</v>
      </c>
      <c r="C498" t="s">
        <v>11</v>
      </c>
      <c r="D498" t="s">
        <v>12</v>
      </c>
      <c r="E498" t="s">
        <v>292</v>
      </c>
      <c r="F498" t="s">
        <v>293</v>
      </c>
      <c r="G498" t="s">
        <v>16</v>
      </c>
      <c r="H498" t="s">
        <v>51</v>
      </c>
      <c r="I498" s="1">
        <v>2</v>
      </c>
      <c r="J498" s="1">
        <v>0</v>
      </c>
      <c r="K498" s="1">
        <f t="shared" si="7"/>
        <v>2</v>
      </c>
    </row>
    <row r="499" spans="1:11" x14ac:dyDescent="0.4">
      <c r="A499" t="s">
        <v>9</v>
      </c>
      <c r="B499" t="s">
        <v>10</v>
      </c>
      <c r="C499" t="s">
        <v>11</v>
      </c>
      <c r="D499" t="s">
        <v>12</v>
      </c>
      <c r="E499" t="s">
        <v>292</v>
      </c>
      <c r="F499" t="s">
        <v>293</v>
      </c>
      <c r="G499" t="s">
        <v>16</v>
      </c>
      <c r="H499" t="s">
        <v>28</v>
      </c>
      <c r="I499" s="1">
        <v>4</v>
      </c>
      <c r="J499" s="1">
        <v>0</v>
      </c>
      <c r="K499" s="1">
        <f t="shared" si="7"/>
        <v>4</v>
      </c>
    </row>
    <row r="500" spans="1:11" x14ac:dyDescent="0.4">
      <c r="A500" t="s">
        <v>9</v>
      </c>
      <c r="B500" t="s">
        <v>10</v>
      </c>
      <c r="C500" t="s">
        <v>11</v>
      </c>
      <c r="D500" t="s">
        <v>12</v>
      </c>
      <c r="E500" t="s">
        <v>292</v>
      </c>
      <c r="F500" t="s">
        <v>293</v>
      </c>
      <c r="G500" t="s">
        <v>16</v>
      </c>
      <c r="H500" t="s">
        <v>160</v>
      </c>
      <c r="I500" s="1">
        <v>4</v>
      </c>
      <c r="J500" s="1">
        <v>0</v>
      </c>
      <c r="K500" s="1">
        <f t="shared" si="7"/>
        <v>4</v>
      </c>
    </row>
    <row r="501" spans="1:11" x14ac:dyDescent="0.4">
      <c r="A501" t="s">
        <v>9</v>
      </c>
      <c r="B501" t="s">
        <v>10</v>
      </c>
      <c r="C501" t="s">
        <v>11</v>
      </c>
      <c r="D501" t="s">
        <v>12</v>
      </c>
      <c r="E501" t="s">
        <v>292</v>
      </c>
      <c r="F501" t="s">
        <v>293</v>
      </c>
      <c r="G501" t="s">
        <v>16</v>
      </c>
      <c r="H501" t="s">
        <v>31</v>
      </c>
      <c r="I501" s="1">
        <v>15</v>
      </c>
      <c r="J501" s="1">
        <v>0</v>
      </c>
      <c r="K501" s="1">
        <f t="shared" si="7"/>
        <v>15</v>
      </c>
    </row>
    <row r="502" spans="1:11" x14ac:dyDescent="0.4">
      <c r="A502" t="s">
        <v>9</v>
      </c>
      <c r="B502" t="s">
        <v>10</v>
      </c>
      <c r="C502" t="s">
        <v>11</v>
      </c>
      <c r="D502" t="s">
        <v>12</v>
      </c>
      <c r="E502" t="s">
        <v>292</v>
      </c>
      <c r="F502" t="s">
        <v>293</v>
      </c>
      <c r="G502" t="s">
        <v>16</v>
      </c>
      <c r="H502" t="s">
        <v>40</v>
      </c>
      <c r="I502" s="1">
        <v>2</v>
      </c>
      <c r="J502" s="1">
        <v>1</v>
      </c>
      <c r="K502" s="1">
        <f t="shared" si="7"/>
        <v>3</v>
      </c>
    </row>
    <row r="503" spans="1:11" x14ac:dyDescent="0.4">
      <c r="A503" t="s">
        <v>9</v>
      </c>
      <c r="B503" t="s">
        <v>10</v>
      </c>
      <c r="C503" t="s">
        <v>11</v>
      </c>
      <c r="D503" t="s">
        <v>12</v>
      </c>
      <c r="E503" t="s">
        <v>292</v>
      </c>
      <c r="F503" t="s">
        <v>293</v>
      </c>
      <c r="G503" t="s">
        <v>16</v>
      </c>
      <c r="H503" t="s">
        <v>18</v>
      </c>
      <c r="I503" s="1">
        <v>11</v>
      </c>
      <c r="J503" s="1">
        <v>1</v>
      </c>
      <c r="K503" s="1">
        <f t="shared" si="7"/>
        <v>12</v>
      </c>
    </row>
    <row r="504" spans="1:11" hidden="1" x14ac:dyDescent="0.4">
      <c r="A504" t="s">
        <v>9</v>
      </c>
      <c r="B504" t="s">
        <v>10</v>
      </c>
      <c r="C504" t="s">
        <v>11</v>
      </c>
      <c r="D504" t="s">
        <v>12</v>
      </c>
      <c r="E504" t="s">
        <v>292</v>
      </c>
      <c r="F504" t="s">
        <v>293</v>
      </c>
      <c r="G504" t="s">
        <v>16</v>
      </c>
      <c r="H504" t="s">
        <v>8</v>
      </c>
      <c r="I504" s="1">
        <v>145</v>
      </c>
      <c r="J504" s="1">
        <v>30</v>
      </c>
      <c r="K504" s="1">
        <f t="shared" si="7"/>
        <v>175</v>
      </c>
    </row>
    <row r="505" spans="1:11" x14ac:dyDescent="0.4">
      <c r="A505" t="s">
        <v>9</v>
      </c>
      <c r="B505" t="s">
        <v>10</v>
      </c>
      <c r="C505" t="s">
        <v>11</v>
      </c>
      <c r="D505" t="s">
        <v>12</v>
      </c>
      <c r="E505" t="s">
        <v>292</v>
      </c>
      <c r="F505" t="s">
        <v>293</v>
      </c>
      <c r="G505" t="s">
        <v>16</v>
      </c>
      <c r="H505" t="s">
        <v>23</v>
      </c>
      <c r="I505" s="1">
        <v>20</v>
      </c>
      <c r="J505" s="1">
        <v>1</v>
      </c>
      <c r="K505" s="1">
        <f t="shared" si="7"/>
        <v>21</v>
      </c>
    </row>
    <row r="506" spans="1:11" x14ac:dyDescent="0.4">
      <c r="A506" t="s">
        <v>9</v>
      </c>
      <c r="B506" t="s">
        <v>10</v>
      </c>
      <c r="C506" t="s">
        <v>11</v>
      </c>
      <c r="D506" t="s">
        <v>12</v>
      </c>
      <c r="E506" t="s">
        <v>294</v>
      </c>
      <c r="F506" t="s">
        <v>295</v>
      </c>
      <c r="G506" t="s">
        <v>16</v>
      </c>
      <c r="H506" t="s">
        <v>34</v>
      </c>
      <c r="I506" s="1">
        <v>5</v>
      </c>
      <c r="J506" s="1">
        <v>0</v>
      </c>
      <c r="K506" s="1">
        <f t="shared" si="7"/>
        <v>5</v>
      </c>
    </row>
    <row r="507" spans="1:11" x14ac:dyDescent="0.4">
      <c r="A507" t="s">
        <v>9</v>
      </c>
      <c r="B507" t="s">
        <v>10</v>
      </c>
      <c r="C507" t="s">
        <v>11</v>
      </c>
      <c r="D507" t="s">
        <v>12</v>
      </c>
      <c r="E507" t="s">
        <v>294</v>
      </c>
      <c r="F507" t="s">
        <v>295</v>
      </c>
      <c r="G507" t="s">
        <v>16</v>
      </c>
      <c r="H507" t="s">
        <v>17</v>
      </c>
      <c r="I507" s="1">
        <v>9</v>
      </c>
      <c r="J507" s="1">
        <v>2</v>
      </c>
      <c r="K507" s="1">
        <f t="shared" si="7"/>
        <v>11</v>
      </c>
    </row>
    <row r="508" spans="1:11" x14ac:dyDescent="0.4">
      <c r="A508" t="s">
        <v>9</v>
      </c>
      <c r="B508" t="s">
        <v>10</v>
      </c>
      <c r="C508" t="s">
        <v>11</v>
      </c>
      <c r="D508" t="s">
        <v>12</v>
      </c>
      <c r="E508" t="s">
        <v>294</v>
      </c>
      <c r="F508" t="s">
        <v>295</v>
      </c>
      <c r="G508" t="s">
        <v>16</v>
      </c>
      <c r="H508" t="s">
        <v>38</v>
      </c>
      <c r="I508" s="1">
        <v>4</v>
      </c>
      <c r="J508" s="1">
        <v>1</v>
      </c>
      <c r="K508" s="1">
        <f t="shared" si="7"/>
        <v>5</v>
      </c>
    </row>
    <row r="509" spans="1:11" x14ac:dyDescent="0.4">
      <c r="A509" t="s">
        <v>9</v>
      </c>
      <c r="B509" t="s">
        <v>10</v>
      </c>
      <c r="C509" t="s">
        <v>11</v>
      </c>
      <c r="D509" t="s">
        <v>12</v>
      </c>
      <c r="E509" t="s">
        <v>294</v>
      </c>
      <c r="F509" t="s">
        <v>295</v>
      </c>
      <c r="G509" t="s">
        <v>16</v>
      </c>
      <c r="H509" t="s">
        <v>39</v>
      </c>
      <c r="I509" s="1">
        <v>2</v>
      </c>
      <c r="J509" s="1">
        <v>0</v>
      </c>
      <c r="K509" s="1">
        <f t="shared" si="7"/>
        <v>2</v>
      </c>
    </row>
    <row r="510" spans="1:11" x14ac:dyDescent="0.4">
      <c r="A510" t="s">
        <v>9</v>
      </c>
      <c r="B510" t="s">
        <v>10</v>
      </c>
      <c r="C510" t="s">
        <v>11</v>
      </c>
      <c r="D510" t="s">
        <v>12</v>
      </c>
      <c r="E510" t="s">
        <v>294</v>
      </c>
      <c r="F510" t="s">
        <v>295</v>
      </c>
      <c r="G510" t="s">
        <v>16</v>
      </c>
      <c r="H510" t="s">
        <v>51</v>
      </c>
      <c r="I510" s="1">
        <v>3</v>
      </c>
      <c r="J510" s="1">
        <v>1</v>
      </c>
      <c r="K510" s="1">
        <f t="shared" si="7"/>
        <v>4</v>
      </c>
    </row>
    <row r="511" spans="1:11" x14ac:dyDescent="0.4">
      <c r="A511" t="s">
        <v>9</v>
      </c>
      <c r="B511" t="s">
        <v>10</v>
      </c>
      <c r="C511" t="s">
        <v>11</v>
      </c>
      <c r="D511" t="s">
        <v>12</v>
      </c>
      <c r="E511" t="s">
        <v>294</v>
      </c>
      <c r="F511" t="s">
        <v>295</v>
      </c>
      <c r="G511" t="s">
        <v>16</v>
      </c>
      <c r="H511" t="s">
        <v>28</v>
      </c>
      <c r="I511" s="1">
        <v>4</v>
      </c>
      <c r="J511" s="1">
        <v>0</v>
      </c>
      <c r="K511" s="1">
        <f t="shared" si="7"/>
        <v>4</v>
      </c>
    </row>
    <row r="512" spans="1:11" x14ac:dyDescent="0.4">
      <c r="A512" t="s">
        <v>9</v>
      </c>
      <c r="B512" t="s">
        <v>10</v>
      </c>
      <c r="C512" t="s">
        <v>11</v>
      </c>
      <c r="D512" t="s">
        <v>12</v>
      </c>
      <c r="E512" t="s">
        <v>294</v>
      </c>
      <c r="F512" t="s">
        <v>295</v>
      </c>
      <c r="G512" t="s">
        <v>16</v>
      </c>
      <c r="H512" t="s">
        <v>31</v>
      </c>
      <c r="I512" s="1">
        <v>7</v>
      </c>
      <c r="J512" s="1">
        <v>0</v>
      </c>
      <c r="K512" s="1">
        <f t="shared" si="7"/>
        <v>7</v>
      </c>
    </row>
    <row r="513" spans="1:11" x14ac:dyDescent="0.4">
      <c r="A513" t="s">
        <v>9</v>
      </c>
      <c r="B513" t="s">
        <v>10</v>
      </c>
      <c r="C513" t="s">
        <v>11</v>
      </c>
      <c r="D513" t="s">
        <v>12</v>
      </c>
      <c r="E513" t="s">
        <v>294</v>
      </c>
      <c r="F513" t="s">
        <v>295</v>
      </c>
      <c r="G513" t="s">
        <v>16</v>
      </c>
      <c r="H513" t="s">
        <v>40</v>
      </c>
      <c r="I513" s="1">
        <v>1</v>
      </c>
      <c r="J513" s="1">
        <v>0</v>
      </c>
      <c r="K513" s="1">
        <f t="shared" si="7"/>
        <v>1</v>
      </c>
    </row>
    <row r="514" spans="1:11" x14ac:dyDescent="0.4">
      <c r="A514" t="s">
        <v>9</v>
      </c>
      <c r="B514" t="s">
        <v>10</v>
      </c>
      <c r="C514" t="s">
        <v>11</v>
      </c>
      <c r="D514" t="s">
        <v>12</v>
      </c>
      <c r="E514" t="s">
        <v>294</v>
      </c>
      <c r="F514" t="s">
        <v>295</v>
      </c>
      <c r="G514" t="s">
        <v>16</v>
      </c>
      <c r="H514" t="s">
        <v>18</v>
      </c>
      <c r="I514" s="1">
        <v>7</v>
      </c>
      <c r="J514" s="1">
        <v>1</v>
      </c>
      <c r="K514" s="1">
        <f t="shared" si="7"/>
        <v>8</v>
      </c>
    </row>
    <row r="515" spans="1:11" hidden="1" x14ac:dyDescent="0.4">
      <c r="A515" t="s">
        <v>9</v>
      </c>
      <c r="B515" t="s">
        <v>10</v>
      </c>
      <c r="C515" t="s">
        <v>11</v>
      </c>
      <c r="D515" t="s">
        <v>12</v>
      </c>
      <c r="E515" t="s">
        <v>294</v>
      </c>
      <c r="F515" t="s">
        <v>295</v>
      </c>
      <c r="G515" t="s">
        <v>16</v>
      </c>
      <c r="H515" t="s">
        <v>8</v>
      </c>
      <c r="I515" s="1">
        <v>59</v>
      </c>
      <c r="J515" s="1">
        <v>8</v>
      </c>
      <c r="K515" s="1">
        <f t="shared" ref="K515:K516" si="8">SUM(I515,J515)</f>
        <v>67</v>
      </c>
    </row>
    <row r="516" spans="1:11" x14ac:dyDescent="0.4">
      <c r="A516" t="s">
        <v>9</v>
      </c>
      <c r="B516" t="s">
        <v>10</v>
      </c>
      <c r="C516" t="s">
        <v>11</v>
      </c>
      <c r="D516" t="s">
        <v>12</v>
      </c>
      <c r="E516" t="s">
        <v>294</v>
      </c>
      <c r="F516" t="s">
        <v>295</v>
      </c>
      <c r="G516" t="s">
        <v>16</v>
      </c>
      <c r="H516" t="s">
        <v>23</v>
      </c>
      <c r="I516" s="1">
        <v>17</v>
      </c>
      <c r="J516" s="1">
        <v>3</v>
      </c>
      <c r="K516" s="1">
        <f t="shared" si="8"/>
        <v>20</v>
      </c>
    </row>
    <row r="518" spans="1:11" x14ac:dyDescent="0.4">
      <c r="H518" s="4" t="s">
        <v>306</v>
      </c>
      <c r="I518" s="6">
        <f>SUBTOTAL(109,Table1[&lt;18wks])</f>
        <v>26003</v>
      </c>
      <c r="J518" s="6">
        <f>SUBTOTAL(109,Table1[&gt;=18wks])</f>
        <v>3678</v>
      </c>
      <c r="K518" s="6">
        <f>SUBTOTAL(109,Table1[Total])</f>
        <v>29681</v>
      </c>
    </row>
    <row r="529" spans="13:13" x14ac:dyDescent="0.4">
      <c r="M529" s="1"/>
    </row>
    <row r="530" spans="13:13" x14ac:dyDescent="0.4">
      <c r="M530" s="1"/>
    </row>
    <row r="531" spans="13:13" x14ac:dyDescent="0.4">
      <c r="M531" s="1"/>
    </row>
    <row r="532" spans="13:13" x14ac:dyDescent="0.4">
      <c r="M532" s="1"/>
    </row>
    <row r="533" spans="13:13" x14ac:dyDescent="0.4">
      <c r="M533" s="1"/>
    </row>
    <row r="534" spans="13:13" x14ac:dyDescent="0.4">
      <c r="M534" s="1"/>
    </row>
    <row r="535" spans="13:13" x14ac:dyDescent="0.4">
      <c r="M535" s="1"/>
    </row>
    <row r="536" spans="13:13" x14ac:dyDescent="0.4">
      <c r="M536" s="1"/>
    </row>
    <row r="537" spans="13:13" x14ac:dyDescent="0.4">
      <c r="M537" s="1"/>
    </row>
    <row r="538" spans="13:13" x14ac:dyDescent="0.4">
      <c r="M538" s="1"/>
    </row>
    <row r="539" spans="13:13" x14ac:dyDescent="0.4">
      <c r="M539"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D29" sqref="D29"/>
    </sheetView>
  </sheetViews>
  <sheetFormatPr defaultRowHeight="14" x14ac:dyDescent="0.4"/>
  <sheetData>
    <row r="1" spans="1:1" x14ac:dyDescent="0.4">
      <c r="A1" t="s">
        <v>299</v>
      </c>
    </row>
    <row r="2" spans="1:1" x14ac:dyDescent="0.4">
      <c r="A2" t="s">
        <v>298</v>
      </c>
    </row>
    <row r="3" spans="1:1" x14ac:dyDescent="0.4">
      <c r="A3"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RTT Data (2)</vt:lpstr>
      <vt:lpstr>PivotChart</vt:lpstr>
      <vt:lpstr>PivotTable</vt:lpstr>
      <vt:lpstr>RTT Data</vt:lpstr>
      <vt:lpstr>Sheet2</vt:lpstr>
    </vt:vector>
  </TitlesOfParts>
  <Company>NBT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Chung</dc:creator>
  <cp:lastModifiedBy>Kay Roscoe (Student)</cp:lastModifiedBy>
  <dcterms:created xsi:type="dcterms:W3CDTF">2017-05-25T10:40:40Z</dcterms:created>
  <dcterms:modified xsi:type="dcterms:W3CDTF">2024-11-14T20:46:05Z</dcterms:modified>
</cp:coreProperties>
</file>